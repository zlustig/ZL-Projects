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zanderlustig/Downloads/"/>
    </mc:Choice>
  </mc:AlternateContent>
  <xr:revisionPtr revIDLastSave="0" documentId="8_{58B67666-A24E-AC45-9207-31A96FDE38E3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FF 2025" sheetId="1" r:id="rId1"/>
    <sheet name="Team" sheetId="4" r:id="rId2"/>
    <sheet name="FP Ranking" sheetId="2" r:id="rId3"/>
    <sheet name="ESPN Ranking" sheetId="3" r:id="rId4"/>
  </sheets>
  <definedNames>
    <definedName name="_xlnm._FilterDatabase" localSheetId="0" hidden="1">'FF 2025'!$B$1:$M$251</definedName>
    <definedName name="deepseek_csv_20250903_ef11c1_2" localSheetId="3">'ESPN Ranking'!$A$1:$B$401</definedName>
    <definedName name="FantasyPros_2025_Draft_ALL_Rankings_7" localSheetId="2">'FP Ranking'!$A$1:$J$630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  <c r="J3" i="1" a="1"/>
  <c r="J3" i="1"/>
  <c r="J4" i="1" a="1"/>
  <c r="J5" i="1" a="1"/>
  <c r="J6" i="1" a="1"/>
  <c r="J7" i="1" a="1"/>
  <c r="J8" i="1" a="1"/>
  <c r="J9" i="1" a="1"/>
  <c r="J10" i="1" a="1"/>
  <c r="J11" i="1" a="1"/>
  <c r="J12" i="1" a="1"/>
  <c r="J13" i="1" a="1"/>
  <c r="J14" i="1" a="1"/>
  <c r="J15" i="1" a="1"/>
  <c r="J16" i="1" a="1"/>
  <c r="J17" i="1" a="1"/>
  <c r="J18" i="1" a="1"/>
  <c r="J19" i="1" a="1"/>
  <c r="J20" i="1" a="1"/>
  <c r="J21" i="1" a="1"/>
  <c r="J22" i="1" a="1"/>
  <c r="J23" i="1" a="1"/>
  <c r="J24" i="1" a="1"/>
  <c r="J25" i="1" a="1"/>
  <c r="J26" i="1" a="1"/>
  <c r="J27" i="1" a="1"/>
  <c r="J28" i="1" a="1"/>
  <c r="J29" i="1" a="1"/>
  <c r="J30" i="1" a="1"/>
  <c r="J31" i="1" a="1"/>
  <c r="J32" i="1" a="1"/>
  <c r="J33" i="1" a="1"/>
  <c r="J34" i="1" a="1"/>
  <c r="J35" i="1" a="1"/>
  <c r="J36" i="1" a="1"/>
  <c r="J37" i="1" a="1"/>
  <c r="J38" i="1" a="1"/>
  <c r="J39" i="1" a="1"/>
  <c r="J40" i="1" a="1"/>
  <c r="J41" i="1" a="1"/>
  <c r="J42" i="1" a="1"/>
  <c r="J43" i="1" a="1"/>
  <c r="J44" i="1" a="1"/>
  <c r="J45" i="1" a="1"/>
  <c r="J46" i="1" a="1"/>
  <c r="J47" i="1" a="1"/>
  <c r="J48" i="1" a="1"/>
  <c r="J49" i="1" a="1"/>
  <c r="J50" i="1" a="1"/>
  <c r="J51" i="1" a="1"/>
  <c r="J52" i="1" a="1"/>
  <c r="J53" i="1" a="1"/>
  <c r="J54" i="1" a="1"/>
  <c r="J55" i="1" a="1"/>
  <c r="J56" i="1" a="1"/>
  <c r="J57" i="1" a="1"/>
  <c r="J58" i="1" a="1"/>
  <c r="J59" i="1" a="1"/>
  <c r="J60" i="1" a="1"/>
  <c r="J61" i="1" a="1"/>
  <c r="J62" i="1" a="1"/>
  <c r="J63" i="1" a="1"/>
  <c r="J64" i="1" a="1"/>
  <c r="J65" i="1" a="1"/>
  <c r="J66" i="1" a="1"/>
  <c r="J67" i="1" a="1"/>
  <c r="J68" i="1" a="1"/>
  <c r="J69" i="1" a="1"/>
  <c r="J70" i="1" a="1"/>
  <c r="J71" i="1" a="1"/>
  <c r="J72" i="1" a="1"/>
  <c r="J73" i="1" a="1"/>
  <c r="J74" i="1" a="1"/>
  <c r="J75" i="1" a="1"/>
  <c r="J76" i="1" a="1"/>
  <c r="J77" i="1" a="1"/>
  <c r="J78" i="1" a="1"/>
  <c r="J79" i="1" a="1"/>
  <c r="J80" i="1" a="1"/>
  <c r="J81" i="1" a="1"/>
  <c r="J82" i="1" a="1"/>
  <c r="J83" i="1" a="1"/>
  <c r="J84" i="1" a="1"/>
  <c r="J85" i="1" a="1"/>
  <c r="J86" i="1" a="1"/>
  <c r="J87" i="1" a="1"/>
  <c r="J88" i="1" a="1"/>
  <c r="J89" i="1" a="1"/>
  <c r="J90" i="1" a="1"/>
  <c r="J91" i="1" a="1"/>
  <c r="J92" i="1" a="1"/>
  <c r="J93" i="1" a="1"/>
  <c r="J94" i="1" a="1"/>
  <c r="J95" i="1" a="1"/>
  <c r="J96" i="1" a="1"/>
  <c r="J97" i="1" a="1"/>
  <c r="J98" i="1" a="1"/>
  <c r="J99" i="1" a="1"/>
  <c r="J100" i="1" a="1"/>
  <c r="J101" i="1" a="1"/>
  <c r="J102" i="1" a="1"/>
  <c r="J103" i="1" a="1"/>
  <c r="J104" i="1" a="1"/>
  <c r="J105" i="1" a="1"/>
  <c r="J106" i="1" a="1"/>
  <c r="J107" i="1" a="1"/>
  <c r="J108" i="1" a="1"/>
  <c r="J109" i="1" a="1"/>
  <c r="J110" i="1" a="1"/>
  <c r="J111" i="1" a="1"/>
  <c r="J112" i="1" a="1"/>
  <c r="J113" i="1" a="1"/>
  <c r="J114" i="1" a="1"/>
  <c r="J115" i="1" a="1"/>
  <c r="J116" i="1" a="1"/>
  <c r="J117" i="1" a="1"/>
  <c r="J118" i="1" a="1"/>
  <c r="J119" i="1" a="1"/>
  <c r="J120" i="1" a="1"/>
  <c r="J121" i="1" a="1"/>
  <c r="J122" i="1" a="1"/>
  <c r="J123" i="1" a="1"/>
  <c r="J124" i="1" a="1"/>
  <c r="J125" i="1" a="1"/>
  <c r="J126" i="1" a="1"/>
  <c r="J127" i="1" a="1"/>
  <c r="J128" i="1" a="1"/>
  <c r="J129" i="1" a="1"/>
  <c r="J130" i="1" a="1"/>
  <c r="J131" i="1" a="1"/>
  <c r="J132" i="1" a="1"/>
  <c r="J133" i="1" a="1"/>
  <c r="J134" i="1" a="1"/>
  <c r="J135" i="1" a="1"/>
  <c r="J136" i="1" a="1"/>
  <c r="J137" i="1" a="1"/>
  <c r="J138" i="1" a="1"/>
  <c r="J139" i="1" a="1"/>
  <c r="J140" i="1" a="1"/>
  <c r="J141" i="1" a="1"/>
  <c r="J142" i="1" a="1"/>
  <c r="J143" i="1" a="1"/>
  <c r="J144" i="1" a="1"/>
  <c r="J145" i="1" a="1"/>
  <c r="J146" i="1" a="1"/>
  <c r="J147" i="1" a="1"/>
  <c r="J148" i="1" a="1"/>
  <c r="J149" i="1" a="1"/>
  <c r="J150" i="1" a="1"/>
  <c r="J151" i="1" a="1"/>
  <c r="J152" i="1" a="1"/>
  <c r="J153" i="1" a="1"/>
  <c r="J154" i="1" a="1"/>
  <c r="J155" i="1" a="1"/>
  <c r="J156" i="1" a="1"/>
  <c r="J157" i="1" a="1"/>
  <c r="J158" i="1" a="1"/>
  <c r="J159" i="1" a="1"/>
  <c r="J160" i="1" a="1"/>
  <c r="J161" i="1" a="1"/>
  <c r="J162" i="1" a="1"/>
  <c r="J163" i="1" a="1"/>
  <c r="J164" i="1" a="1"/>
  <c r="J165" i="1" a="1"/>
  <c r="J166" i="1" a="1"/>
  <c r="J167" i="1" a="1"/>
  <c r="J168" i="1" a="1"/>
  <c r="J169" i="1" a="1"/>
  <c r="J170" i="1" a="1"/>
  <c r="J171" i="1" a="1"/>
  <c r="J172" i="1" a="1"/>
  <c r="J173" i="1" a="1"/>
  <c r="J174" i="1" a="1"/>
  <c r="J175" i="1" a="1"/>
  <c r="J176" i="1" a="1"/>
  <c r="J177" i="1" a="1"/>
  <c r="J178" i="1" a="1"/>
  <c r="J179" i="1" a="1"/>
  <c r="J180" i="1" a="1"/>
  <c r="J181" i="1" a="1"/>
  <c r="J182" i="1" a="1"/>
  <c r="J183" i="1" a="1"/>
  <c r="J184" i="1" a="1"/>
  <c r="J185" i="1" a="1"/>
  <c r="J186" i="1" a="1"/>
  <c r="J187" i="1" a="1"/>
  <c r="J188" i="1" a="1"/>
  <c r="J189" i="1" a="1"/>
  <c r="J190" i="1" a="1"/>
  <c r="J191" i="1" a="1"/>
  <c r="J192" i="1" a="1"/>
  <c r="J193" i="1" a="1"/>
  <c r="J194" i="1" a="1"/>
  <c r="J195" i="1" a="1"/>
  <c r="J196" i="1" a="1"/>
  <c r="J197" i="1" a="1"/>
  <c r="J198" i="1" a="1"/>
  <c r="J199" i="1" a="1"/>
  <c r="J200" i="1" a="1"/>
  <c r="J201" i="1" a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C11" i="4" a="1"/>
  <c r="C11" i="4"/>
  <c r="C10" i="4" a="1"/>
  <c r="C10" i="4"/>
  <c r="D98" i="1"/>
  <c r="D24" i="1"/>
  <c r="C8" i="4" a="1"/>
  <c r="C8" i="4"/>
  <c r="D16" i="1"/>
  <c r="C7" i="4" a="1"/>
  <c r="C7" i="4"/>
  <c r="D2" i="1"/>
  <c r="D5" i="1"/>
  <c r="C6" i="4" a="1"/>
  <c r="C6" i="4"/>
  <c r="D43" i="1"/>
  <c r="D62" i="1"/>
  <c r="C5" i="4" a="1"/>
  <c r="C5" i="4"/>
  <c r="D22" i="1"/>
  <c r="D58" i="1"/>
  <c r="C4" i="4" a="1"/>
  <c r="C4" i="4"/>
  <c r="D48" i="1"/>
  <c r="D83" i="1"/>
  <c r="C3" i="4" a="1"/>
  <c r="C3" i="4"/>
  <c r="G3" i="4" a="1"/>
  <c r="G3" i="4"/>
  <c r="D54" i="1"/>
  <c r="D37" i="1"/>
  <c r="K8" i="4" a="1"/>
  <c r="K8" i="4"/>
  <c r="K6" i="4" a="1"/>
  <c r="K6" i="4"/>
  <c r="K7" i="4" a="1"/>
  <c r="K7" i="4"/>
  <c r="K12" i="4" a="1"/>
  <c r="K12" i="4"/>
  <c r="K11" i="4" a="1"/>
  <c r="K11" i="4"/>
  <c r="K9" i="4" a="1"/>
  <c r="K9" i="4"/>
  <c r="K5" i="4" a="1"/>
  <c r="K5" i="4"/>
  <c r="K4" i="4" a="1"/>
  <c r="K4" i="4"/>
  <c r="K3" i="4" a="1"/>
  <c r="K3" i="4"/>
  <c r="D3" i="1"/>
  <c r="D4" i="1"/>
  <c r="D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21" i="1"/>
  <c r="D23" i="1"/>
  <c r="D25" i="1"/>
  <c r="D26" i="1"/>
  <c r="D27" i="1"/>
  <c r="D28" i="1"/>
  <c r="D29" i="1"/>
  <c r="D30" i="1"/>
  <c r="D31" i="1"/>
  <c r="D32" i="1"/>
  <c r="D33" i="1"/>
  <c r="D34" i="1"/>
  <c r="D35" i="1"/>
  <c r="D36" i="1"/>
  <c r="D38" i="1"/>
  <c r="D39" i="1"/>
  <c r="D40" i="1"/>
  <c r="D41" i="1"/>
  <c r="D42" i="1"/>
  <c r="D44" i="1"/>
  <c r="D45" i="1"/>
  <c r="D46" i="1"/>
  <c r="D47" i="1"/>
  <c r="D49" i="1"/>
  <c r="D50" i="1"/>
  <c r="D51" i="1"/>
  <c r="D52" i="1"/>
  <c r="D53" i="1"/>
  <c r="D55" i="1"/>
  <c r="D56" i="1"/>
  <c r="D57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B16" i="1"/>
  <c r="L7" i="4"/>
  <c r="D11" i="4"/>
  <c r="D10" i="4"/>
  <c r="B98" i="1"/>
  <c r="B24" i="1"/>
  <c r="D8" i="4"/>
  <c r="D7" i="4"/>
  <c r="B2" i="1"/>
  <c r="B5" i="1"/>
  <c r="D6" i="4"/>
  <c r="B43" i="1"/>
  <c r="B62" i="1"/>
  <c r="D5" i="4"/>
  <c r="B22" i="1"/>
  <c r="B58" i="1"/>
  <c r="D4" i="4"/>
  <c r="B48" i="1"/>
  <c r="B83" i="1"/>
  <c r="D3" i="4"/>
  <c r="L12" i="4"/>
  <c r="L11" i="4"/>
  <c r="L9" i="4"/>
  <c r="B54" i="1"/>
  <c r="B37" i="1"/>
  <c r="L8" i="4"/>
  <c r="L6" i="4"/>
  <c r="L5" i="4"/>
  <c r="L4" i="4"/>
  <c r="L3" i="4"/>
  <c r="G4" i="4" a="1"/>
  <c r="G4" i="4"/>
  <c r="B4" i="1"/>
  <c r="H4" i="4"/>
  <c r="G5" i="4" a="1"/>
  <c r="G5" i="4"/>
  <c r="H5" i="4"/>
  <c r="G6" i="4" a="1"/>
  <c r="G6" i="4"/>
  <c r="B42" i="1"/>
  <c r="H6" i="4"/>
  <c r="G7" i="4" a="1"/>
  <c r="G7" i="4"/>
  <c r="B78" i="1"/>
  <c r="H7" i="4"/>
  <c r="G8" i="4" a="1"/>
  <c r="G8" i="4"/>
  <c r="B31" i="1"/>
  <c r="H8" i="4"/>
  <c r="G9" i="4" a="1"/>
  <c r="G9" i="4"/>
  <c r="B66" i="1"/>
  <c r="H9" i="4"/>
  <c r="G10" i="4" a="1"/>
  <c r="G10" i="4"/>
  <c r="B71" i="1"/>
  <c r="H10" i="4"/>
  <c r="G11" i="4" a="1"/>
  <c r="G11" i="4"/>
  <c r="H11" i="4"/>
  <c r="G12" i="4" a="1"/>
  <c r="G12" i="4"/>
  <c r="H12" i="4"/>
  <c r="B26" i="1"/>
  <c r="H3" i="4"/>
  <c r="A1" i="1"/>
  <c r="G34" i="1"/>
  <c r="K34" i="1"/>
  <c r="L34" i="1"/>
  <c r="G3" i="1"/>
  <c r="K3" i="1"/>
  <c r="L3" i="1"/>
  <c r="G2" i="1"/>
  <c r="K2" i="1"/>
  <c r="L2" i="1"/>
  <c r="G4" i="1"/>
  <c r="K4" i="1"/>
  <c r="L4" i="1"/>
  <c r="G5" i="1"/>
  <c r="K5" i="1"/>
  <c r="L5" i="1"/>
  <c r="G6" i="1"/>
  <c r="K6" i="1"/>
  <c r="L6" i="1"/>
  <c r="G7" i="1"/>
  <c r="K7" i="1"/>
  <c r="L7" i="1"/>
  <c r="G8" i="1"/>
  <c r="K8" i="1"/>
  <c r="L8" i="1"/>
  <c r="G9" i="1"/>
  <c r="K9" i="1"/>
  <c r="L9" i="1"/>
  <c r="G10" i="1"/>
  <c r="K10" i="1"/>
  <c r="L10" i="1"/>
  <c r="G11" i="1"/>
  <c r="K11" i="1"/>
  <c r="L11" i="1"/>
  <c r="G12" i="1"/>
  <c r="K12" i="1"/>
  <c r="L12" i="1"/>
  <c r="G13" i="1"/>
  <c r="K13" i="1"/>
  <c r="L13" i="1"/>
  <c r="G14" i="1"/>
  <c r="K14" i="1"/>
  <c r="L14" i="1"/>
  <c r="G15" i="1"/>
  <c r="K15" i="1"/>
  <c r="L15" i="1"/>
  <c r="G16" i="1"/>
  <c r="K16" i="1"/>
  <c r="L16" i="1"/>
  <c r="G17" i="1"/>
  <c r="K17" i="1"/>
  <c r="L17" i="1"/>
  <c r="G18" i="1"/>
  <c r="K18" i="1"/>
  <c r="L18" i="1"/>
  <c r="G19" i="1"/>
  <c r="K19" i="1"/>
  <c r="L19" i="1"/>
  <c r="G20" i="1"/>
  <c r="K20" i="1"/>
  <c r="L20" i="1"/>
  <c r="G21" i="1"/>
  <c r="K21" i="1"/>
  <c r="L21" i="1"/>
  <c r="G22" i="1"/>
  <c r="K22" i="1"/>
  <c r="L22" i="1"/>
  <c r="G23" i="1"/>
  <c r="K23" i="1"/>
  <c r="L23" i="1"/>
  <c r="G24" i="1"/>
  <c r="K24" i="1"/>
  <c r="L24" i="1"/>
  <c r="G25" i="1"/>
  <c r="K25" i="1"/>
  <c r="L25" i="1"/>
  <c r="G26" i="1"/>
  <c r="K26" i="1"/>
  <c r="L26" i="1"/>
  <c r="G27" i="1"/>
  <c r="K27" i="1"/>
  <c r="L27" i="1"/>
  <c r="G28" i="1"/>
  <c r="K28" i="1"/>
  <c r="L28" i="1"/>
  <c r="G29" i="1"/>
  <c r="K29" i="1"/>
  <c r="L29" i="1"/>
  <c r="G30" i="1"/>
  <c r="K30" i="1"/>
  <c r="L30" i="1"/>
  <c r="G31" i="1"/>
  <c r="K31" i="1"/>
  <c r="L31" i="1"/>
  <c r="G32" i="1"/>
  <c r="K32" i="1"/>
  <c r="L32" i="1"/>
  <c r="G33" i="1"/>
  <c r="K33" i="1"/>
  <c r="L33" i="1"/>
  <c r="G35" i="1"/>
  <c r="K35" i="1"/>
  <c r="L35" i="1"/>
  <c r="G36" i="1"/>
  <c r="K36" i="1"/>
  <c r="L36" i="1"/>
  <c r="G37" i="1"/>
  <c r="K37" i="1"/>
  <c r="L37" i="1"/>
  <c r="G38" i="1"/>
  <c r="K38" i="1"/>
  <c r="L38" i="1"/>
  <c r="G39" i="1"/>
  <c r="K39" i="1"/>
  <c r="L39" i="1"/>
  <c r="G40" i="1"/>
  <c r="K40" i="1"/>
  <c r="L40" i="1"/>
  <c r="G41" i="1"/>
  <c r="K41" i="1"/>
  <c r="L41" i="1"/>
  <c r="G42" i="1"/>
  <c r="K42" i="1"/>
  <c r="L42" i="1"/>
  <c r="G43" i="1"/>
  <c r="K43" i="1"/>
  <c r="L43" i="1"/>
  <c r="G44" i="1"/>
  <c r="K44" i="1"/>
  <c r="L44" i="1"/>
  <c r="G45" i="1"/>
  <c r="K45" i="1"/>
  <c r="L45" i="1"/>
  <c r="G46" i="1"/>
  <c r="K46" i="1"/>
  <c r="L46" i="1"/>
  <c r="G47" i="1"/>
  <c r="K47" i="1"/>
  <c r="L47" i="1"/>
  <c r="G48" i="1"/>
  <c r="K48" i="1"/>
  <c r="L48" i="1"/>
  <c r="G49" i="1"/>
  <c r="K49" i="1"/>
  <c r="L49" i="1"/>
  <c r="G50" i="1"/>
  <c r="K50" i="1"/>
  <c r="L50" i="1"/>
  <c r="G51" i="1"/>
  <c r="K51" i="1"/>
  <c r="L51" i="1"/>
  <c r="G52" i="1"/>
  <c r="K52" i="1"/>
  <c r="L52" i="1"/>
  <c r="G53" i="1"/>
  <c r="K53" i="1"/>
  <c r="L53" i="1"/>
  <c r="G54" i="1"/>
  <c r="K54" i="1"/>
  <c r="L54" i="1"/>
  <c r="G55" i="1"/>
  <c r="K55" i="1"/>
  <c r="L55" i="1"/>
  <c r="G56" i="1"/>
  <c r="K56" i="1"/>
  <c r="L56" i="1"/>
  <c r="G57" i="1"/>
  <c r="K57" i="1"/>
  <c r="L57" i="1"/>
  <c r="G58" i="1"/>
  <c r="K58" i="1"/>
  <c r="L58" i="1"/>
  <c r="G59" i="1"/>
  <c r="K59" i="1"/>
  <c r="L59" i="1"/>
  <c r="G60" i="1"/>
  <c r="K60" i="1"/>
  <c r="L60" i="1"/>
  <c r="G61" i="1"/>
  <c r="K61" i="1"/>
  <c r="L61" i="1"/>
  <c r="G62" i="1"/>
  <c r="K62" i="1"/>
  <c r="L62" i="1"/>
  <c r="G63" i="1"/>
  <c r="K63" i="1"/>
  <c r="L63" i="1"/>
  <c r="G64" i="1"/>
  <c r="K64" i="1"/>
  <c r="L64" i="1"/>
  <c r="G65" i="1"/>
  <c r="K65" i="1"/>
  <c r="L65" i="1"/>
  <c r="G66" i="1"/>
  <c r="K66" i="1"/>
  <c r="L66" i="1"/>
  <c r="G67" i="1"/>
  <c r="K67" i="1"/>
  <c r="L67" i="1"/>
  <c r="G68" i="1"/>
  <c r="K68" i="1"/>
  <c r="L68" i="1"/>
  <c r="G69" i="1"/>
  <c r="K69" i="1"/>
  <c r="L69" i="1"/>
  <c r="G70" i="1"/>
  <c r="K70" i="1"/>
  <c r="L70" i="1"/>
  <c r="G71" i="1"/>
  <c r="K71" i="1"/>
  <c r="L71" i="1"/>
  <c r="G72" i="1"/>
  <c r="K72" i="1"/>
  <c r="L72" i="1"/>
  <c r="G73" i="1"/>
  <c r="K73" i="1"/>
  <c r="L73" i="1"/>
  <c r="G74" i="1"/>
  <c r="K74" i="1"/>
  <c r="L74" i="1"/>
  <c r="G75" i="1"/>
  <c r="K75" i="1"/>
  <c r="L75" i="1"/>
  <c r="G76" i="1"/>
  <c r="K76" i="1"/>
  <c r="L76" i="1"/>
  <c r="G77" i="1"/>
  <c r="K77" i="1"/>
  <c r="L77" i="1"/>
  <c r="G78" i="1"/>
  <c r="K78" i="1"/>
  <c r="L78" i="1"/>
  <c r="G79" i="1"/>
  <c r="K79" i="1"/>
  <c r="L79" i="1"/>
  <c r="G80" i="1"/>
  <c r="K80" i="1"/>
  <c r="L80" i="1"/>
  <c r="G81" i="1"/>
  <c r="K81" i="1"/>
  <c r="L81" i="1"/>
  <c r="G82" i="1"/>
  <c r="K82" i="1"/>
  <c r="L82" i="1"/>
  <c r="G83" i="1"/>
  <c r="K83" i="1"/>
  <c r="L83" i="1"/>
  <c r="G84" i="1"/>
  <c r="K84" i="1"/>
  <c r="L84" i="1"/>
  <c r="G85" i="1"/>
  <c r="K85" i="1"/>
  <c r="L85" i="1"/>
  <c r="G86" i="1"/>
  <c r="K86" i="1"/>
  <c r="L86" i="1"/>
  <c r="G87" i="1"/>
  <c r="K87" i="1"/>
  <c r="L87" i="1"/>
  <c r="G88" i="1"/>
  <c r="K88" i="1"/>
  <c r="L88" i="1"/>
  <c r="G89" i="1"/>
  <c r="K89" i="1"/>
  <c r="L89" i="1"/>
  <c r="G90" i="1"/>
  <c r="K90" i="1"/>
  <c r="L90" i="1"/>
  <c r="G91" i="1"/>
  <c r="K91" i="1"/>
  <c r="L91" i="1"/>
  <c r="G92" i="1"/>
  <c r="K92" i="1"/>
  <c r="L92" i="1"/>
  <c r="G93" i="1"/>
  <c r="K93" i="1"/>
  <c r="L93" i="1"/>
  <c r="G94" i="1"/>
  <c r="K94" i="1"/>
  <c r="L94" i="1"/>
  <c r="G95" i="1"/>
  <c r="K95" i="1"/>
  <c r="L95" i="1"/>
  <c r="G96" i="1"/>
  <c r="K96" i="1"/>
  <c r="L96" i="1"/>
  <c r="G97" i="1"/>
  <c r="K97" i="1"/>
  <c r="L97" i="1"/>
  <c r="G98" i="1"/>
  <c r="K98" i="1"/>
  <c r="L98" i="1"/>
  <c r="G99" i="1"/>
  <c r="K99" i="1"/>
  <c r="L99" i="1"/>
  <c r="G100" i="1"/>
  <c r="K100" i="1"/>
  <c r="L100" i="1"/>
  <c r="G101" i="1"/>
  <c r="K101" i="1"/>
  <c r="L101" i="1"/>
  <c r="G102" i="1"/>
  <c r="K102" i="1"/>
  <c r="L102" i="1"/>
  <c r="G103" i="1"/>
  <c r="K103" i="1"/>
  <c r="L103" i="1"/>
  <c r="G104" i="1"/>
  <c r="K104" i="1"/>
  <c r="L104" i="1"/>
  <c r="G105" i="1"/>
  <c r="K105" i="1"/>
  <c r="L105" i="1"/>
  <c r="G106" i="1"/>
  <c r="K106" i="1"/>
  <c r="L106" i="1"/>
  <c r="G107" i="1"/>
  <c r="K107" i="1"/>
  <c r="L107" i="1"/>
  <c r="G108" i="1"/>
  <c r="K108" i="1"/>
  <c r="L108" i="1"/>
  <c r="G109" i="1"/>
  <c r="K109" i="1"/>
  <c r="L109" i="1"/>
  <c r="G110" i="1"/>
  <c r="K110" i="1"/>
  <c r="L110" i="1"/>
  <c r="G111" i="1"/>
  <c r="K111" i="1"/>
  <c r="L111" i="1"/>
  <c r="G112" i="1"/>
  <c r="K112" i="1"/>
  <c r="L112" i="1"/>
  <c r="G113" i="1"/>
  <c r="K113" i="1"/>
  <c r="L113" i="1"/>
  <c r="G114" i="1"/>
  <c r="K114" i="1"/>
  <c r="L114" i="1"/>
  <c r="G115" i="1"/>
  <c r="K115" i="1"/>
  <c r="L115" i="1"/>
  <c r="G116" i="1"/>
  <c r="K116" i="1"/>
  <c r="L116" i="1"/>
  <c r="G117" i="1"/>
  <c r="K117" i="1"/>
  <c r="L117" i="1"/>
  <c r="G118" i="1"/>
  <c r="K118" i="1"/>
  <c r="L118" i="1"/>
  <c r="G119" i="1"/>
  <c r="K119" i="1"/>
  <c r="L119" i="1"/>
  <c r="G120" i="1"/>
  <c r="K120" i="1"/>
  <c r="L120" i="1"/>
  <c r="G121" i="1"/>
  <c r="K121" i="1"/>
  <c r="L121" i="1"/>
  <c r="G122" i="1"/>
  <c r="K122" i="1"/>
  <c r="L122" i="1"/>
  <c r="G123" i="1"/>
  <c r="K123" i="1"/>
  <c r="L123" i="1"/>
  <c r="G124" i="1"/>
  <c r="K124" i="1"/>
  <c r="L124" i="1"/>
  <c r="G125" i="1"/>
  <c r="K125" i="1"/>
  <c r="L125" i="1"/>
  <c r="G126" i="1"/>
  <c r="K126" i="1"/>
  <c r="L126" i="1"/>
  <c r="G127" i="1"/>
  <c r="K127" i="1"/>
  <c r="L127" i="1"/>
  <c r="G128" i="1"/>
  <c r="K128" i="1"/>
  <c r="L128" i="1"/>
  <c r="G129" i="1"/>
  <c r="K129" i="1"/>
  <c r="L129" i="1"/>
  <c r="G130" i="1"/>
  <c r="K130" i="1"/>
  <c r="L130" i="1"/>
  <c r="G131" i="1"/>
  <c r="K131" i="1"/>
  <c r="L131" i="1"/>
  <c r="G132" i="1"/>
  <c r="K132" i="1"/>
  <c r="L132" i="1"/>
  <c r="G133" i="1"/>
  <c r="K133" i="1"/>
  <c r="L133" i="1"/>
  <c r="G134" i="1"/>
  <c r="K134" i="1"/>
  <c r="L134" i="1"/>
  <c r="G135" i="1"/>
  <c r="K135" i="1"/>
  <c r="L135" i="1"/>
  <c r="G136" i="1"/>
  <c r="K136" i="1"/>
  <c r="L136" i="1"/>
  <c r="G137" i="1"/>
  <c r="K137" i="1"/>
  <c r="L137" i="1"/>
  <c r="G138" i="1"/>
  <c r="K138" i="1"/>
  <c r="L138" i="1"/>
  <c r="G139" i="1"/>
  <c r="K139" i="1"/>
  <c r="L139" i="1"/>
  <c r="G140" i="1"/>
  <c r="K140" i="1"/>
  <c r="L140" i="1"/>
  <c r="G141" i="1"/>
  <c r="K141" i="1"/>
  <c r="L141" i="1"/>
  <c r="G142" i="1"/>
  <c r="K142" i="1"/>
  <c r="L142" i="1"/>
  <c r="G143" i="1"/>
  <c r="K143" i="1"/>
  <c r="L143" i="1"/>
  <c r="G144" i="1"/>
  <c r="K144" i="1"/>
  <c r="L144" i="1"/>
  <c r="G145" i="1"/>
  <c r="K145" i="1"/>
  <c r="L145" i="1"/>
  <c r="G146" i="1"/>
  <c r="K146" i="1"/>
  <c r="L146" i="1"/>
  <c r="G147" i="1"/>
  <c r="K147" i="1"/>
  <c r="L147" i="1"/>
  <c r="G148" i="1"/>
  <c r="K148" i="1"/>
  <c r="L148" i="1"/>
  <c r="G149" i="1"/>
  <c r="K149" i="1"/>
  <c r="L149" i="1"/>
  <c r="G150" i="1"/>
  <c r="K150" i="1"/>
  <c r="L150" i="1"/>
  <c r="G151" i="1"/>
  <c r="K151" i="1"/>
  <c r="L151" i="1"/>
  <c r="G152" i="1"/>
  <c r="K152" i="1"/>
  <c r="L152" i="1"/>
  <c r="G153" i="1"/>
  <c r="K153" i="1"/>
  <c r="L153" i="1"/>
  <c r="G154" i="1"/>
  <c r="K154" i="1"/>
  <c r="L154" i="1"/>
  <c r="G155" i="1"/>
  <c r="K155" i="1"/>
  <c r="L155" i="1"/>
  <c r="G156" i="1"/>
  <c r="K156" i="1"/>
  <c r="L156" i="1"/>
  <c r="G157" i="1"/>
  <c r="K157" i="1"/>
  <c r="L157" i="1"/>
  <c r="G158" i="1"/>
  <c r="K158" i="1"/>
  <c r="L158" i="1"/>
  <c r="G159" i="1"/>
  <c r="K159" i="1"/>
  <c r="L159" i="1"/>
  <c r="G160" i="1"/>
  <c r="K160" i="1"/>
  <c r="L160" i="1"/>
  <c r="G161" i="1"/>
  <c r="K161" i="1"/>
  <c r="L161" i="1"/>
  <c r="G162" i="1"/>
  <c r="K162" i="1"/>
  <c r="L162" i="1"/>
  <c r="G163" i="1"/>
  <c r="K163" i="1"/>
  <c r="L163" i="1"/>
  <c r="G164" i="1"/>
  <c r="K164" i="1"/>
  <c r="L164" i="1"/>
  <c r="G165" i="1"/>
  <c r="K165" i="1"/>
  <c r="L165" i="1"/>
  <c r="G166" i="1"/>
  <c r="K166" i="1"/>
  <c r="L166" i="1"/>
  <c r="G167" i="1"/>
  <c r="K167" i="1"/>
  <c r="L167" i="1"/>
  <c r="G168" i="1"/>
  <c r="K168" i="1"/>
  <c r="L168" i="1"/>
  <c r="G169" i="1"/>
  <c r="K169" i="1"/>
  <c r="L169" i="1"/>
  <c r="G170" i="1"/>
  <c r="K170" i="1"/>
  <c r="L170" i="1"/>
  <c r="G171" i="1"/>
  <c r="K171" i="1"/>
  <c r="L171" i="1"/>
  <c r="G172" i="1"/>
  <c r="K172" i="1"/>
  <c r="L172" i="1"/>
  <c r="G173" i="1"/>
  <c r="K173" i="1"/>
  <c r="L173" i="1"/>
  <c r="G174" i="1"/>
  <c r="K174" i="1"/>
  <c r="L174" i="1"/>
  <c r="G175" i="1"/>
  <c r="K175" i="1"/>
  <c r="L175" i="1"/>
  <c r="G176" i="1"/>
  <c r="K176" i="1"/>
  <c r="L176" i="1"/>
  <c r="G177" i="1"/>
  <c r="K177" i="1"/>
  <c r="L177" i="1"/>
  <c r="G178" i="1"/>
  <c r="K178" i="1"/>
  <c r="L178" i="1"/>
  <c r="G179" i="1"/>
  <c r="K179" i="1"/>
  <c r="L179" i="1"/>
  <c r="G180" i="1"/>
  <c r="K180" i="1"/>
  <c r="L180" i="1"/>
  <c r="G181" i="1"/>
  <c r="K181" i="1"/>
  <c r="L181" i="1"/>
  <c r="G182" i="1"/>
  <c r="K182" i="1"/>
  <c r="L182" i="1"/>
  <c r="G183" i="1"/>
  <c r="K183" i="1"/>
  <c r="L183" i="1"/>
  <c r="G184" i="1"/>
  <c r="K184" i="1"/>
  <c r="L184" i="1"/>
  <c r="G185" i="1"/>
  <c r="K185" i="1"/>
  <c r="L185" i="1"/>
  <c r="G186" i="1"/>
  <c r="K186" i="1"/>
  <c r="L186" i="1"/>
  <c r="G187" i="1"/>
  <c r="K187" i="1"/>
  <c r="L187" i="1"/>
  <c r="G188" i="1"/>
  <c r="K188" i="1"/>
  <c r="L188" i="1"/>
  <c r="G189" i="1"/>
  <c r="K189" i="1"/>
  <c r="L189" i="1"/>
  <c r="G190" i="1"/>
  <c r="K190" i="1"/>
  <c r="L190" i="1"/>
  <c r="G191" i="1"/>
  <c r="K191" i="1"/>
  <c r="L191" i="1"/>
  <c r="G192" i="1"/>
  <c r="K192" i="1"/>
  <c r="L192" i="1"/>
  <c r="G193" i="1"/>
  <c r="K193" i="1"/>
  <c r="L193" i="1"/>
  <c r="G194" i="1"/>
  <c r="K194" i="1"/>
  <c r="L194" i="1"/>
  <c r="G195" i="1"/>
  <c r="K195" i="1"/>
  <c r="L195" i="1"/>
  <c r="G196" i="1"/>
  <c r="K196" i="1"/>
  <c r="L196" i="1"/>
  <c r="G197" i="1"/>
  <c r="K197" i="1"/>
  <c r="L197" i="1"/>
  <c r="G198" i="1"/>
  <c r="K198" i="1"/>
  <c r="L198" i="1"/>
  <c r="G199" i="1"/>
  <c r="K199" i="1"/>
  <c r="L199" i="1"/>
  <c r="G200" i="1"/>
  <c r="K200" i="1"/>
  <c r="L200" i="1"/>
  <c r="G201" i="1"/>
  <c r="K201" i="1"/>
  <c r="L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I2" i="1"/>
  <c r="H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2" i="1"/>
  <c r="B81" i="1"/>
  <c r="B80" i="1"/>
  <c r="B79" i="1"/>
  <c r="B77" i="1"/>
  <c r="B76" i="1"/>
  <c r="B75" i="1"/>
  <c r="B74" i="1"/>
  <c r="B73" i="1"/>
  <c r="B72" i="1"/>
  <c r="B70" i="1"/>
  <c r="B69" i="1"/>
  <c r="B68" i="1"/>
  <c r="B67" i="1"/>
  <c r="B65" i="1"/>
  <c r="B64" i="1"/>
  <c r="B63" i="1"/>
  <c r="B61" i="1"/>
  <c r="B60" i="1"/>
  <c r="B59" i="1"/>
  <c r="B57" i="1"/>
  <c r="B56" i="1"/>
  <c r="B55" i="1"/>
  <c r="B53" i="1"/>
  <c r="B52" i="1"/>
  <c r="B51" i="1"/>
  <c r="B50" i="1"/>
  <c r="B49" i="1"/>
  <c r="B47" i="1"/>
  <c r="B46" i="1"/>
  <c r="B45" i="1"/>
  <c r="B44" i="1"/>
  <c r="B41" i="1"/>
  <c r="B40" i="1"/>
  <c r="B39" i="1"/>
  <c r="B38" i="1"/>
  <c r="B36" i="1"/>
  <c r="B35" i="1"/>
  <c r="B34" i="1"/>
  <c r="B33" i="1"/>
  <c r="B32" i="1"/>
  <c r="B30" i="1"/>
  <c r="B29" i="1"/>
  <c r="B28" i="1"/>
  <c r="B27" i="1"/>
  <c r="B25" i="1"/>
  <c r="B23" i="1"/>
  <c r="B21" i="1"/>
  <c r="B20" i="1"/>
  <c r="B19" i="1"/>
  <c r="B18" i="1"/>
  <c r="B17" i="1"/>
  <c r="B15" i="1"/>
  <c r="B14" i="1"/>
  <c r="B13" i="1"/>
  <c r="B12" i="1"/>
  <c r="B11" i="1"/>
  <c r="B10" i="1"/>
  <c r="B9" i="1"/>
  <c r="B8" i="1"/>
  <c r="B7" i="1"/>
  <c r="B6" i="1"/>
  <c r="B3" i="1"/>
  <c r="G13" i="4" a="1"/>
  <c r="G13" i="4"/>
  <c r="G14" i="4" a="1"/>
  <c r="G14" i="4"/>
  <c r="G15" i="4" a="1"/>
  <c r="G15" i="4"/>
  <c r="G16" i="4" a="1"/>
  <c r="G16" i="4"/>
  <c r="G17" i="4" a="1"/>
  <c r="G17" i="4"/>
  <c r="G18" i="4" a="1"/>
  <c r="G18" i="4"/>
  <c r="H18" i="4"/>
  <c r="H17" i="4"/>
  <c r="H16" i="4"/>
  <c r="H15" i="4"/>
  <c r="H14" i="4"/>
  <c r="H13" i="4"/>
  <c r="K10" i="4" a="1"/>
  <c r="K10" i="4"/>
  <c r="L10" i="4"/>
  <c r="K13" i="4" a="1"/>
  <c r="K13" i="4"/>
  <c r="L13" i="4"/>
  <c r="K14" i="4" a="1"/>
  <c r="K14" i="4"/>
  <c r="L14" i="4"/>
  <c r="K15" i="4" a="1"/>
  <c r="K15" i="4"/>
  <c r="L15" i="4"/>
  <c r="K16" i="4" a="1"/>
  <c r="K16" i="4"/>
  <c r="L16" i="4"/>
  <c r="K17" i="4" a="1"/>
  <c r="K17" i="4"/>
  <c r="L17" i="4"/>
  <c r="K18" i="4" a="1"/>
  <c r="K18" i="4"/>
  <c r="L18" i="4"/>
  <c r="C9" i="4" a="1"/>
  <c r="C9" i="4"/>
  <c r="D9" i="4"/>
  <c r="C12" i="4" a="1"/>
  <c r="C12" i="4"/>
  <c r="D12" i="4"/>
  <c r="C13" i="4" a="1"/>
  <c r="C13" i="4"/>
  <c r="D13" i="4"/>
  <c r="C14" i="4" a="1"/>
  <c r="C14" i="4"/>
  <c r="D14" i="4"/>
  <c r="C15" i="4" a="1"/>
  <c r="C15" i="4"/>
  <c r="D15" i="4"/>
  <c r="C16" i="4" a="1"/>
  <c r="C16" i="4"/>
  <c r="D16" i="4"/>
  <c r="C17" i="4" a="1"/>
  <c r="C17" i="4"/>
  <c r="D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BB04D-EE03-9348-A28E-7BD0E59C9145}" name="deepseek_csv_20250903_ef11c1-2" type="6" refreshedVersion="8" background="1" saveData="1">
    <textPr sourceFile="/Users/zanderlustig/Downloads/deepseek_csv_20250903_ef11c1-2.txt" comma="1">
      <textFields count="2">
        <textField/>
        <textField/>
      </textFields>
    </textPr>
  </connection>
  <connection id="2" xr16:uid="{C3257A9D-8987-2346-82D0-70ECB9038E1D}" name="FantasyPros_2025_Draft_ALL_Rankings-7" type="6" refreshedVersion="8" background="1" saveData="1">
    <textPr sourceFile="/Users/zanderlustig/Downloads/FantasyPros_2025_Draft_ALL_Rankings-7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<sst xmlns="http://schemas.openxmlformats.org/spreadsheetml/2006/main" count="4585" uniqueCount="1341">
  <si>
    <t>Round</t>
  </si>
  <si>
    <t>FP Rank</t>
  </si>
  <si>
    <t>Player Name</t>
  </si>
  <si>
    <t>Picked?</t>
  </si>
  <si>
    <t>ESPN Rank</t>
  </si>
  <si>
    <t>Tier</t>
  </si>
  <si>
    <t>Team</t>
  </si>
  <si>
    <t>Position</t>
  </si>
  <si>
    <t>Difference</t>
  </si>
  <si>
    <t>Adj Difference</t>
  </si>
  <si>
    <t>Percentile Adj. Difference</t>
  </si>
  <si>
    <t>RK</t>
  </si>
  <si>
    <t>TIERS</t>
  </si>
  <si>
    <t>PLAYER NAME</t>
  </si>
  <si>
    <t>TEAM</t>
  </si>
  <si>
    <t>POS</t>
  </si>
  <si>
    <t>Ja'Marr Chase</t>
  </si>
  <si>
    <t>CIN</t>
  </si>
  <si>
    <t>WR1</t>
  </si>
  <si>
    <t>Bijan Robinson</t>
  </si>
  <si>
    <t>ATL</t>
  </si>
  <si>
    <t>RB1</t>
  </si>
  <si>
    <t>Saquon Barkley</t>
  </si>
  <si>
    <t>PHI</t>
  </si>
  <si>
    <t>RB2</t>
  </si>
  <si>
    <t>Justin Jefferson</t>
  </si>
  <si>
    <t>MIN</t>
  </si>
  <si>
    <t>WR2</t>
  </si>
  <si>
    <t>Jahmyr Gibbs</t>
  </si>
  <si>
    <t>DET</t>
  </si>
  <si>
    <t>RB3</t>
  </si>
  <si>
    <t>CeeDee Lamb</t>
  </si>
  <si>
    <t>DAL</t>
  </si>
  <si>
    <t>WR3</t>
  </si>
  <si>
    <t>Puka Nacua</t>
  </si>
  <si>
    <t>LAR</t>
  </si>
  <si>
    <t>WR4</t>
  </si>
  <si>
    <t>Malik Nabers</t>
  </si>
  <si>
    <t>NYG</t>
  </si>
  <si>
    <t>WR5</t>
  </si>
  <si>
    <t>Nico Collins</t>
  </si>
  <si>
    <t>HOU</t>
  </si>
  <si>
    <t>WR6</t>
  </si>
  <si>
    <t>Amon-Ra St. Brown</t>
  </si>
  <si>
    <t>WR7</t>
  </si>
  <si>
    <t>Brian Thomas Jr.</t>
  </si>
  <si>
    <t>JAC</t>
  </si>
  <si>
    <t>WR8</t>
  </si>
  <si>
    <t>Christian McCaffrey</t>
  </si>
  <si>
    <t>SF</t>
  </si>
  <si>
    <t>RB4</t>
  </si>
  <si>
    <t>Ashton Jeanty</t>
  </si>
  <si>
    <t>LV</t>
  </si>
  <si>
    <t>RB5</t>
  </si>
  <si>
    <t>Derrick Henry</t>
  </si>
  <si>
    <t>BAL</t>
  </si>
  <si>
    <t>RB6</t>
  </si>
  <si>
    <t>De'Von Achane</t>
  </si>
  <si>
    <t>MIA</t>
  </si>
  <si>
    <t>RB7</t>
  </si>
  <si>
    <t>Drake London</t>
  </si>
  <si>
    <t>WR9</t>
  </si>
  <si>
    <t>Brock Bowers</t>
  </si>
  <si>
    <t>TE1</t>
  </si>
  <si>
    <t>A.J. Brown</t>
  </si>
  <si>
    <t>WR10</t>
  </si>
  <si>
    <t>Jonathan Taylor</t>
  </si>
  <si>
    <t>IND</t>
  </si>
  <si>
    <t>RB8</t>
  </si>
  <si>
    <t>Josh Jacobs</t>
  </si>
  <si>
    <t>GB</t>
  </si>
  <si>
    <t>RB9</t>
  </si>
  <si>
    <t>Bucky Irving</t>
  </si>
  <si>
    <t>TB</t>
  </si>
  <si>
    <t>RB10</t>
  </si>
  <si>
    <t>Ladd McConkey</t>
  </si>
  <si>
    <t>LAC</t>
  </si>
  <si>
    <t>WR11</t>
  </si>
  <si>
    <t>Trey McBride</t>
  </si>
  <si>
    <t>ARI</t>
  </si>
  <si>
    <t>TE2</t>
  </si>
  <si>
    <t>Chase Brown</t>
  </si>
  <si>
    <t>RB11</t>
  </si>
  <si>
    <t>Josh Allen</t>
  </si>
  <si>
    <t>BUF</t>
  </si>
  <si>
    <t>QB1</t>
  </si>
  <si>
    <t>Lamar Jackson</t>
  </si>
  <si>
    <t>QB2</t>
  </si>
  <si>
    <t>Kyren Williams</t>
  </si>
  <si>
    <t>RB12</t>
  </si>
  <si>
    <t>Tee Higgins</t>
  </si>
  <si>
    <t>WR12</t>
  </si>
  <si>
    <t>Jaxon Smith-Njigba</t>
  </si>
  <si>
    <t>SEA</t>
  </si>
  <si>
    <t>WR13</t>
  </si>
  <si>
    <t>Tyreek Hill</t>
  </si>
  <si>
    <t>WR14</t>
  </si>
  <si>
    <t>Garrett Wilson</t>
  </si>
  <si>
    <t>NYJ</t>
  </si>
  <si>
    <t>WR15</t>
  </si>
  <si>
    <t>George Kittle</t>
  </si>
  <si>
    <t>TE3</t>
  </si>
  <si>
    <t>Jayden Daniels</t>
  </si>
  <si>
    <t>WAS</t>
  </si>
  <si>
    <t>QB3</t>
  </si>
  <si>
    <t>Davante Adams</t>
  </si>
  <si>
    <t>WR16</t>
  </si>
  <si>
    <t>Mike Evans</t>
  </si>
  <si>
    <t>WR17</t>
  </si>
  <si>
    <t>Breece Hall</t>
  </si>
  <si>
    <t>RB13</t>
  </si>
  <si>
    <t>Jalen Hurts</t>
  </si>
  <si>
    <t>QB4</t>
  </si>
  <si>
    <t>James Cook</t>
  </si>
  <si>
    <t>RB14</t>
  </si>
  <si>
    <t>Kenneth Walker III</t>
  </si>
  <si>
    <t>RB15</t>
  </si>
  <si>
    <t>Terry McLaurin</t>
  </si>
  <si>
    <t>WR18</t>
  </si>
  <si>
    <t>Marvin Harrison Jr.</t>
  </si>
  <si>
    <t>WR19</t>
  </si>
  <si>
    <t>Alvin Kamara</t>
  </si>
  <si>
    <t>NO</t>
  </si>
  <si>
    <t>RB16</t>
  </si>
  <si>
    <t>DJ Moore</t>
  </si>
  <si>
    <t>CHI</t>
  </si>
  <si>
    <t>WR20</t>
  </si>
  <si>
    <t>Omarion Hampton</t>
  </si>
  <si>
    <t>RB17</t>
  </si>
  <si>
    <t>Joe Burrow</t>
  </si>
  <si>
    <t>QB5</t>
  </si>
  <si>
    <t>DK Metcalf</t>
  </si>
  <si>
    <t>PIT</t>
  </si>
  <si>
    <t>WR21</t>
  </si>
  <si>
    <t>Chuba Hubbard</t>
  </si>
  <si>
    <t>CAR</t>
  </si>
  <si>
    <t>RB18</t>
  </si>
  <si>
    <t>James Conner</t>
  </si>
  <si>
    <t>RB19</t>
  </si>
  <si>
    <t>Courtland Sutton</t>
  </si>
  <si>
    <t>DEN</t>
  </si>
  <si>
    <t>WR22</t>
  </si>
  <si>
    <t>DeVonta Smith</t>
  </si>
  <si>
    <t>WR23</t>
  </si>
  <si>
    <t>Zay Flowers</t>
  </si>
  <si>
    <t>WR24</t>
  </si>
  <si>
    <t>Jameson Williams</t>
  </si>
  <si>
    <t>WR25</t>
  </si>
  <si>
    <t>David Montgomery</t>
  </si>
  <si>
    <t>RB20</t>
  </si>
  <si>
    <t>Xavier Worthy</t>
  </si>
  <si>
    <t>KC</t>
  </si>
  <si>
    <t>WR26</t>
  </si>
  <si>
    <t>Rashee Rice</t>
  </si>
  <si>
    <t>WR27</t>
  </si>
  <si>
    <t>D'Andre Swift</t>
  </si>
  <si>
    <t>RB21</t>
  </si>
  <si>
    <t>Jaylen Waddle</t>
  </si>
  <si>
    <t>WR28</t>
  </si>
  <si>
    <t>Sam LaPorta</t>
  </si>
  <si>
    <t>TE4</t>
  </si>
  <si>
    <t>Tetairoa McMillan</t>
  </si>
  <si>
    <t>WR29</t>
  </si>
  <si>
    <t>Calvin Ridley</t>
  </si>
  <si>
    <t>TEN</t>
  </si>
  <si>
    <t>WR30</t>
  </si>
  <si>
    <t>Aaron Jones Sr.</t>
  </si>
  <si>
    <t>RB22</t>
  </si>
  <si>
    <t>George Pickens</t>
  </si>
  <si>
    <t>WR31</t>
  </si>
  <si>
    <t>TreVeyon Henderson</t>
  </si>
  <si>
    <t>NE</t>
  </si>
  <si>
    <t>RB23</t>
  </si>
  <si>
    <t>Patrick Mahomes II</t>
  </si>
  <si>
    <t>QB6</t>
  </si>
  <si>
    <t>Tony Pollard</t>
  </si>
  <si>
    <t>RB24</t>
  </si>
  <si>
    <t>RJ Harvey</t>
  </si>
  <si>
    <t>RB25</t>
  </si>
  <si>
    <t>Isiah Pacheco</t>
  </si>
  <si>
    <t>RB26</t>
  </si>
  <si>
    <t>Chris Olave</t>
  </si>
  <si>
    <t>WR32</t>
  </si>
  <si>
    <t>Joe Mixon</t>
  </si>
  <si>
    <t>RB27</t>
  </si>
  <si>
    <t>Baker Mayfield</t>
  </si>
  <si>
    <t>QB7</t>
  </si>
  <si>
    <t>T.J. Hockenson</t>
  </si>
  <si>
    <t>TE5</t>
  </si>
  <si>
    <t>Kaleb Johnson</t>
  </si>
  <si>
    <t>RB28</t>
  </si>
  <si>
    <t>Travis Hunter</t>
  </si>
  <si>
    <t>WR33</t>
  </si>
  <si>
    <t>Jerry Jeudy</t>
  </si>
  <si>
    <t>CLE</t>
  </si>
  <si>
    <t>WR34</t>
  </si>
  <si>
    <t>Brian Robinson Jr.</t>
  </si>
  <si>
    <t>RB29</t>
  </si>
  <si>
    <t>Bo Nix</t>
  </si>
  <si>
    <t>QB8</t>
  </si>
  <si>
    <t>Rome Odunze</t>
  </si>
  <si>
    <t>WR35</t>
  </si>
  <si>
    <t>Kyler Murray</t>
  </si>
  <si>
    <t>QB9</t>
  </si>
  <si>
    <t>Mark Andrews</t>
  </si>
  <si>
    <t>TE6</t>
  </si>
  <si>
    <t>Travis Kelce</t>
  </si>
  <si>
    <t>TE7</t>
  </si>
  <si>
    <t>Jordan Addison</t>
  </si>
  <si>
    <t>WR36</t>
  </si>
  <si>
    <t>Jakobi Meyers</t>
  </si>
  <si>
    <t>WR37</t>
  </si>
  <si>
    <t>WR38</t>
  </si>
  <si>
    <t>Jaylen Warren</t>
  </si>
  <si>
    <t>RB30</t>
  </si>
  <si>
    <t>David Njoku</t>
  </si>
  <si>
    <t>TE8</t>
  </si>
  <si>
    <t>Justin Fields</t>
  </si>
  <si>
    <t>QB10</t>
  </si>
  <si>
    <t>Evan Engram</t>
  </si>
  <si>
    <t>TE9</t>
  </si>
  <si>
    <t>Jauan Jennings</t>
  </si>
  <si>
    <t>WR39</t>
  </si>
  <si>
    <t>Tyrone Tracy Jr.</t>
  </si>
  <si>
    <t>RB31</t>
  </si>
  <si>
    <t>Brock Purdy</t>
  </si>
  <si>
    <t>QB11</t>
  </si>
  <si>
    <t>Stefon Diggs</t>
  </si>
  <si>
    <t>WR40</t>
  </si>
  <si>
    <t>Dak Prescott</t>
  </si>
  <si>
    <t>QB12</t>
  </si>
  <si>
    <t>Khalil Shakir</t>
  </si>
  <si>
    <t>WR41</t>
  </si>
  <si>
    <t>Travis Etienne Jr.</t>
  </si>
  <si>
    <t>RB32</t>
  </si>
  <si>
    <t>Jayden Reed</t>
  </si>
  <si>
    <t>WR42</t>
  </si>
  <si>
    <t>Justin Herbert</t>
  </si>
  <si>
    <t>QB13</t>
  </si>
  <si>
    <t>Caleb Williams</t>
  </si>
  <si>
    <t>QB14</t>
  </si>
  <si>
    <t>Deebo Samuel Sr.</t>
  </si>
  <si>
    <t>WR43</t>
  </si>
  <si>
    <t>Ricky Pearsall</t>
  </si>
  <si>
    <t>WR44</t>
  </si>
  <si>
    <t>Tucker Kraft</t>
  </si>
  <si>
    <t>TE10</t>
  </si>
  <si>
    <t>Josh Downs</t>
  </si>
  <si>
    <t>WR45</t>
  </si>
  <si>
    <t>Jared Goff</t>
  </si>
  <si>
    <t>QB15</t>
  </si>
  <si>
    <t>Javonte Williams</t>
  </si>
  <si>
    <t>RB33</t>
  </si>
  <si>
    <t>Jordan Mason</t>
  </si>
  <si>
    <t>RB34</t>
  </si>
  <si>
    <t>Drake Maye</t>
  </si>
  <si>
    <t>QB16</t>
  </si>
  <si>
    <t>Jordan Love</t>
  </si>
  <si>
    <t>QB17</t>
  </si>
  <si>
    <t>Rhamondre Stevenson</t>
  </si>
  <si>
    <t>RB35</t>
  </si>
  <si>
    <t>Cam Skattebo</t>
  </si>
  <si>
    <t>RB36</t>
  </si>
  <si>
    <t>Zach Charbonnet</t>
  </si>
  <si>
    <t>RB37</t>
  </si>
  <si>
    <t>Najee Harris</t>
  </si>
  <si>
    <t>RB38</t>
  </si>
  <si>
    <t>Cooper Kupp</t>
  </si>
  <si>
    <t>WR46</t>
  </si>
  <si>
    <t>Quinshon Judkins</t>
  </si>
  <si>
    <t>RB39</t>
  </si>
  <si>
    <t>Michael Pittman Jr.</t>
  </si>
  <si>
    <t>WR47</t>
  </si>
  <si>
    <t>Tyjae Spears</t>
  </si>
  <si>
    <t>RB40</t>
  </si>
  <si>
    <t>Trevor Lawrence</t>
  </si>
  <si>
    <t>QB18</t>
  </si>
  <si>
    <t>Tank Bigsby</t>
  </si>
  <si>
    <t>RB41</t>
  </si>
  <si>
    <t>Jake Ferguson</t>
  </si>
  <si>
    <t>TE11</t>
  </si>
  <si>
    <t>Dalton Kincaid</t>
  </si>
  <si>
    <t>TE12</t>
  </si>
  <si>
    <t>Darnell Mooney</t>
  </si>
  <si>
    <t>WR48</t>
  </si>
  <si>
    <t>Rachaad White</t>
  </si>
  <si>
    <t>RB42</t>
  </si>
  <si>
    <t>Emeka Egbuka</t>
  </si>
  <si>
    <t>WR49</t>
  </si>
  <si>
    <t>C.J. Stroud</t>
  </si>
  <si>
    <t>QB19</t>
  </si>
  <si>
    <t>Tyler Warren</t>
  </si>
  <si>
    <t>TE13</t>
  </si>
  <si>
    <t>Dallas Goedert</t>
  </si>
  <si>
    <t>TE14</t>
  </si>
  <si>
    <t>Brandon Aiyuk</t>
  </si>
  <si>
    <t>WR50</t>
  </si>
  <si>
    <t>J.K. Dobbins</t>
  </si>
  <si>
    <t>RB43</t>
  </si>
  <si>
    <t>J.J. McCarthy</t>
  </si>
  <si>
    <t>QB20</t>
  </si>
  <si>
    <t>Rashid Shaheed</t>
  </si>
  <si>
    <t>WR51</t>
  </si>
  <si>
    <t>Matthew Golden</t>
  </si>
  <si>
    <t>WR52</t>
  </si>
  <si>
    <t>Keon Coleman</t>
  </si>
  <si>
    <t>WR53</t>
  </si>
  <si>
    <t>Austin Ekeler</t>
  </si>
  <si>
    <t>RB44</t>
  </si>
  <si>
    <t>Colston Loveland</t>
  </si>
  <si>
    <t>TE15</t>
  </si>
  <si>
    <t>Ray Davis</t>
  </si>
  <si>
    <t>RB45</t>
  </si>
  <si>
    <t>Christian Kirk</t>
  </si>
  <si>
    <t>WR54</t>
  </si>
  <si>
    <t>Tua Tagovailoa</t>
  </si>
  <si>
    <t>QB21</t>
  </si>
  <si>
    <t>Rashod Bateman</t>
  </si>
  <si>
    <t>WR55</t>
  </si>
  <si>
    <t>Jerome Ford</t>
  </si>
  <si>
    <t>RB46</t>
  </si>
  <si>
    <t>Kyle Pitts Sr.</t>
  </si>
  <si>
    <t>TE16</t>
  </si>
  <si>
    <t>Tyler Allgeier</t>
  </si>
  <si>
    <t>RB47</t>
  </si>
  <si>
    <t>Matthew Stafford</t>
  </si>
  <si>
    <t>QB22</t>
  </si>
  <si>
    <t>Isaac Guerendo</t>
  </si>
  <si>
    <t>RB48</t>
  </si>
  <si>
    <t>Jonnu Smith</t>
  </si>
  <si>
    <t>TE17</t>
  </si>
  <si>
    <t>Trey Benson</t>
  </si>
  <si>
    <t>RB49</t>
  </si>
  <si>
    <t>Luther Burden III</t>
  </si>
  <si>
    <t>WR56</t>
  </si>
  <si>
    <t>Cedric Tillman</t>
  </si>
  <si>
    <t>WR57</t>
  </si>
  <si>
    <t>Hunter Henry</t>
  </si>
  <si>
    <t>TE18</t>
  </si>
  <si>
    <t>Michael Penix Jr.</t>
  </si>
  <si>
    <t>QB23</t>
  </si>
  <si>
    <t>Bryce Young</t>
  </si>
  <si>
    <t>QB24</t>
  </si>
  <si>
    <t>Braelon Allen</t>
  </si>
  <si>
    <t>RB50</t>
  </si>
  <si>
    <t>Jaydon Blue</t>
  </si>
  <si>
    <t>RB51</t>
  </si>
  <si>
    <t>Marvin Mims Jr.</t>
  </si>
  <si>
    <t>WR58</t>
  </si>
  <si>
    <t>Rico Dowdle</t>
  </si>
  <si>
    <t>RB52</t>
  </si>
  <si>
    <t>Tre' Harris</t>
  </si>
  <si>
    <t>WR59</t>
  </si>
  <si>
    <t>Marquise Brown</t>
  </si>
  <si>
    <t>WR60</t>
  </si>
  <si>
    <t>Romeo Doubs</t>
  </si>
  <si>
    <t>WR61</t>
  </si>
  <si>
    <t>Zach Ertz</t>
  </si>
  <si>
    <t>TE19</t>
  </si>
  <si>
    <t>Nick Chubb</t>
  </si>
  <si>
    <t>RB53</t>
  </si>
  <si>
    <t>Adam Thielen</t>
  </si>
  <si>
    <t>WR62</t>
  </si>
  <si>
    <t>Jaylen Wright</t>
  </si>
  <si>
    <t>RB54</t>
  </si>
  <si>
    <t>Jalen McMillan</t>
  </si>
  <si>
    <t>WR63</t>
  </si>
  <si>
    <t>Kyle Williams</t>
  </si>
  <si>
    <t>WR64</t>
  </si>
  <si>
    <t>Geno Smith</t>
  </si>
  <si>
    <t>QB25</t>
  </si>
  <si>
    <t>Jayden Higgins</t>
  </si>
  <si>
    <t>WR65</t>
  </si>
  <si>
    <t>Bhayshul Tuten</t>
  </si>
  <si>
    <t>RB55</t>
  </si>
  <si>
    <t>Wan'Dale Robinson</t>
  </si>
  <si>
    <t>WR66</t>
  </si>
  <si>
    <t>Quentin Johnston</t>
  </si>
  <si>
    <t>WR67</t>
  </si>
  <si>
    <t>Dylan Sampson</t>
  </si>
  <si>
    <t>RB56</t>
  </si>
  <si>
    <t>DeMario Douglas</t>
  </si>
  <si>
    <t>WR68</t>
  </si>
  <si>
    <t>Roschon Johnson</t>
  </si>
  <si>
    <t>RB57</t>
  </si>
  <si>
    <t>Brenton Strange</t>
  </si>
  <si>
    <t>TE20</t>
  </si>
  <si>
    <t>Xavier Legette</t>
  </si>
  <si>
    <t>WR69</t>
  </si>
  <si>
    <t>Blake Corum</t>
  </si>
  <si>
    <t>RB58</t>
  </si>
  <si>
    <t>Isaiah Likely</t>
  </si>
  <si>
    <t>TE21</t>
  </si>
  <si>
    <t>Sam Darnold</t>
  </si>
  <si>
    <t>QB26</t>
  </si>
  <si>
    <t>QB27</t>
  </si>
  <si>
    <t>Joshua Palmer</t>
  </si>
  <si>
    <t>WR70</t>
  </si>
  <si>
    <t>MarShawn Lloyd</t>
  </si>
  <si>
    <t>RB59</t>
  </si>
  <si>
    <t>Denver Broncos</t>
  </si>
  <si>
    <t>DST1</t>
  </si>
  <si>
    <t>Philadelphia Eagles</t>
  </si>
  <si>
    <t>DST2</t>
  </si>
  <si>
    <t>DeAndre Hopkins</t>
  </si>
  <si>
    <t>WR71</t>
  </si>
  <si>
    <t>Pat Freiermuth</t>
  </si>
  <si>
    <t>TE22</t>
  </si>
  <si>
    <t>Pittsburgh Steelers</t>
  </si>
  <si>
    <t>DST3</t>
  </si>
  <si>
    <t>Minnesota Vikings</t>
  </si>
  <si>
    <t>DST4</t>
  </si>
  <si>
    <t>Mike Gesicki</t>
  </si>
  <si>
    <t>TE23</t>
  </si>
  <si>
    <t>Mason Taylor</t>
  </si>
  <si>
    <t>TE24</t>
  </si>
  <si>
    <t>Baltimore Ravens</t>
  </si>
  <si>
    <t>DST5</t>
  </si>
  <si>
    <t>Chig Okonkwo</t>
  </si>
  <si>
    <t>TE25</t>
  </si>
  <si>
    <t>Jack Bech</t>
  </si>
  <si>
    <t>WR72</t>
  </si>
  <si>
    <t>Alec Pierce</t>
  </si>
  <si>
    <t>WR73</t>
  </si>
  <si>
    <t>Cade Otton</t>
  </si>
  <si>
    <t>TE26</t>
  </si>
  <si>
    <t>Aaron Rodgers</t>
  </si>
  <si>
    <t>QB28</t>
  </si>
  <si>
    <t>Houston Texans</t>
  </si>
  <si>
    <t>DST6</t>
  </si>
  <si>
    <t>Michael Wilson</t>
  </si>
  <si>
    <t>WR74</t>
  </si>
  <si>
    <t>Kareem Hunt</t>
  </si>
  <si>
    <t>RB60</t>
  </si>
  <si>
    <t>Kansas City Chiefs</t>
  </si>
  <si>
    <t>DST7</t>
  </si>
  <si>
    <t>Dontayvion Wicks</t>
  </si>
  <si>
    <t>WR75</t>
  </si>
  <si>
    <t>Detroit Lions</t>
  </si>
  <si>
    <t>DST8</t>
  </si>
  <si>
    <t>Jalen Coker</t>
  </si>
  <si>
    <t>WR76</t>
  </si>
  <si>
    <t>Buffalo Bills</t>
  </si>
  <si>
    <t>DST9</t>
  </si>
  <si>
    <t>Brandon Aubrey</t>
  </si>
  <si>
    <t>K1</t>
  </si>
  <si>
    <t>Darius Slayton</t>
  </si>
  <si>
    <t>WR77</t>
  </si>
  <si>
    <t>Jake Bates</t>
  </si>
  <si>
    <t>K2</t>
  </si>
  <si>
    <t>Miles Sanders</t>
  </si>
  <si>
    <t>RB61</t>
  </si>
  <si>
    <t>Dalton Schultz</t>
  </si>
  <si>
    <t>TE27</t>
  </si>
  <si>
    <t>Kendre Miller</t>
  </si>
  <si>
    <t>RB62</t>
  </si>
  <si>
    <t>Los Angeles Chargers</t>
  </si>
  <si>
    <t>DST10</t>
  </si>
  <si>
    <t>Cameron Dicker</t>
  </si>
  <si>
    <t>K3</t>
  </si>
  <si>
    <t>Justice Hill</t>
  </si>
  <si>
    <t>RB63</t>
  </si>
  <si>
    <t>Seattle Seahawks</t>
  </si>
  <si>
    <t>DST11</t>
  </si>
  <si>
    <t>Wil Lutz</t>
  </si>
  <si>
    <t>K4</t>
  </si>
  <si>
    <t>Adonai Mitchell</t>
  </si>
  <si>
    <t>WR78</t>
  </si>
  <si>
    <t>Chris Boswell</t>
  </si>
  <si>
    <t>K5</t>
  </si>
  <si>
    <t>Green Bay Packers</t>
  </si>
  <si>
    <t>DST12</t>
  </si>
  <si>
    <t>Los Angeles Rams</t>
  </si>
  <si>
    <t>DST13</t>
  </si>
  <si>
    <t>Anthony Richardson Sr.</t>
  </si>
  <si>
    <t>QB29</t>
  </si>
  <si>
    <t>Kyle Monangai</t>
  </si>
  <si>
    <t>RB64</t>
  </si>
  <si>
    <t>Andrei Iosivas</t>
  </si>
  <si>
    <t>WR79</t>
  </si>
  <si>
    <t>Devin Neal</t>
  </si>
  <si>
    <t>RB65</t>
  </si>
  <si>
    <t>Chase McLaughlin</t>
  </si>
  <si>
    <t>K6</t>
  </si>
  <si>
    <t>Jaylin Noel</t>
  </si>
  <si>
    <t>WR80</t>
  </si>
  <si>
    <t>DJ Giddens</t>
  </si>
  <si>
    <t>RB66</t>
  </si>
  <si>
    <t>Calvin Austin III</t>
  </si>
  <si>
    <t>WR81</t>
  </si>
  <si>
    <t>Ka'imi Fairbairn</t>
  </si>
  <si>
    <t>K7</t>
  </si>
  <si>
    <t>New York Jets</t>
  </si>
  <si>
    <t>DST14</t>
  </si>
  <si>
    <t>Elic Ayomanor</t>
  </si>
  <si>
    <t>WR82</t>
  </si>
  <si>
    <t>Will Shipley</t>
  </si>
  <si>
    <t>RB67</t>
  </si>
  <si>
    <t>Harrison Butker</t>
  </si>
  <si>
    <t>K8</t>
  </si>
  <si>
    <t>Ja'Tavion Sanders</t>
  </si>
  <si>
    <t>TE28</t>
  </si>
  <si>
    <t>Evan McPherson</t>
  </si>
  <si>
    <t>K9</t>
  </si>
  <si>
    <t>Tyler Lockett</t>
  </si>
  <si>
    <t>WR83</t>
  </si>
  <si>
    <t>Pat Bryant</t>
  </si>
  <si>
    <t>WR84</t>
  </si>
  <si>
    <t>Elijah Arroyo</t>
  </si>
  <si>
    <t>TE29</t>
  </si>
  <si>
    <t>Jaleel McLaughlin</t>
  </si>
  <si>
    <t>RB68</t>
  </si>
  <si>
    <t>San Francisco 49ers</t>
  </si>
  <si>
    <t>DST15</t>
  </si>
  <si>
    <t>Tyler Bass</t>
  </si>
  <si>
    <t>K10</t>
  </si>
  <si>
    <t>Russell Wilson</t>
  </si>
  <si>
    <t>QB30</t>
  </si>
  <si>
    <t>Devaughn Vele</t>
  </si>
  <si>
    <t>WR85</t>
  </si>
  <si>
    <t>Juwan Johnson</t>
  </si>
  <si>
    <t>TE30</t>
  </si>
  <si>
    <t>Jake Elliott</t>
  </si>
  <si>
    <t>K11</t>
  </si>
  <si>
    <t>Jarquez Hunter</t>
  </si>
  <si>
    <t>RB69</t>
  </si>
  <si>
    <t>Tahj Brooks</t>
  </si>
  <si>
    <t>RB70</t>
  </si>
  <si>
    <t>Raheem Mostert</t>
  </si>
  <si>
    <t>RB71</t>
  </si>
  <si>
    <t>Jason Sanders</t>
  </si>
  <si>
    <t>K12</t>
  </si>
  <si>
    <t>Keaton Mitchell</t>
  </si>
  <si>
    <t>RB72</t>
  </si>
  <si>
    <t>Keenan Allen</t>
  </si>
  <si>
    <t>FA</t>
  </si>
  <si>
    <t>WR86</t>
  </si>
  <si>
    <t>Woody Marks</t>
  </si>
  <si>
    <t>RB73</t>
  </si>
  <si>
    <t>Cole Kmet</t>
  </si>
  <si>
    <t>TE31</t>
  </si>
  <si>
    <t>Dallas Cowboys</t>
  </si>
  <si>
    <t>DST16</t>
  </si>
  <si>
    <t>Brashard Smith</t>
  </si>
  <si>
    <t>RB74</t>
  </si>
  <si>
    <t>Jalen Royals</t>
  </si>
  <si>
    <t>WR87</t>
  </si>
  <si>
    <t>Younghoe Koo</t>
  </si>
  <si>
    <t>K13</t>
  </si>
  <si>
    <t>Audric Estime</t>
  </si>
  <si>
    <t>RB75</t>
  </si>
  <si>
    <t>Elijah Mitchell</t>
  </si>
  <si>
    <t>RB76</t>
  </si>
  <si>
    <t>Diontae Johnson</t>
  </si>
  <si>
    <t>WR88</t>
  </si>
  <si>
    <t>Roman Wilson</t>
  </si>
  <si>
    <t>WR89</t>
  </si>
  <si>
    <t>Tampa Bay Buccaneers</t>
  </si>
  <si>
    <t>DST17</t>
  </si>
  <si>
    <t>Jalen Tolbert</t>
  </si>
  <si>
    <t>WR90</t>
  </si>
  <si>
    <t>Kenneth Gainwell</t>
  </si>
  <si>
    <t>RB77</t>
  </si>
  <si>
    <t>Ollie Gordon II</t>
  </si>
  <si>
    <t>RB78</t>
  </si>
  <si>
    <t>Trevor Etienne</t>
  </si>
  <si>
    <t>RB79</t>
  </si>
  <si>
    <t>Daniel Jones</t>
  </si>
  <si>
    <t>QB31</t>
  </si>
  <si>
    <t>Sean Tucker</t>
  </si>
  <si>
    <t>RB80</t>
  </si>
  <si>
    <t>Ty Johnson</t>
  </si>
  <si>
    <t>RB81</t>
  </si>
  <si>
    <t>Nick Westbrook-Ikhine</t>
  </si>
  <si>
    <t>WR91</t>
  </si>
  <si>
    <t>Brandin Cooks</t>
  </si>
  <si>
    <t>WR92</t>
  </si>
  <si>
    <t>Devin Singletary</t>
  </si>
  <si>
    <t>RB82</t>
  </si>
  <si>
    <t>Antonio Gibson</t>
  </si>
  <si>
    <t>RB83</t>
  </si>
  <si>
    <t>Elijah Moore</t>
  </si>
  <si>
    <t>WR93</t>
  </si>
  <si>
    <t>Joshua Karty</t>
  </si>
  <si>
    <t>K14</t>
  </si>
  <si>
    <t>Matt Gay</t>
  </si>
  <si>
    <t>K15</t>
  </si>
  <si>
    <t>Dyami Brown</t>
  </si>
  <si>
    <t>WR94</t>
  </si>
  <si>
    <t>Malik Washington</t>
  </si>
  <si>
    <t>WR95</t>
  </si>
  <si>
    <t>Kayshon Boutte</t>
  </si>
  <si>
    <t>WR96</t>
  </si>
  <si>
    <t>Noah Gray</t>
  </si>
  <si>
    <t>TE32</t>
  </si>
  <si>
    <t>Khalil Herbert</t>
  </si>
  <si>
    <t>RB84</t>
  </si>
  <si>
    <t>Isaiah Davis</t>
  </si>
  <si>
    <t>RB85</t>
  </si>
  <si>
    <t>Jordan James</t>
  </si>
  <si>
    <t>RB86</t>
  </si>
  <si>
    <t>Cleveland Browns</t>
  </si>
  <si>
    <t>DST18</t>
  </si>
  <si>
    <t>Tre Tucker</t>
  </si>
  <si>
    <t>WR97</t>
  </si>
  <si>
    <t>Joe Flacco</t>
  </si>
  <si>
    <t>QB32</t>
  </si>
  <si>
    <t>Tyler Shough</t>
  </si>
  <si>
    <t>QB33</t>
  </si>
  <si>
    <t>Amari Cooper</t>
  </si>
  <si>
    <t>WR98</t>
  </si>
  <si>
    <t>Sincere McCormick</t>
  </si>
  <si>
    <t>RB87</t>
  </si>
  <si>
    <t>Harold Fannin Jr.</t>
  </si>
  <si>
    <t>TE33</t>
  </si>
  <si>
    <t>Tyrod Taylor</t>
  </si>
  <si>
    <t>QB34</t>
  </si>
  <si>
    <t>Dameon Pierce</t>
  </si>
  <si>
    <t>RB88</t>
  </si>
  <si>
    <t>Theo Johnson</t>
  </si>
  <si>
    <t>TE34</t>
  </si>
  <si>
    <t>RB89</t>
  </si>
  <si>
    <t>Chicago Bears</t>
  </si>
  <si>
    <t>DST19</t>
  </si>
  <si>
    <t>Taysom Hill</t>
  </si>
  <si>
    <t>TE35</t>
  </si>
  <si>
    <t>Kimani Vidal</t>
  </si>
  <si>
    <t>RB90</t>
  </si>
  <si>
    <t>Tim Patrick</t>
  </si>
  <si>
    <t>WR99</t>
  </si>
  <si>
    <t>Darren Waller</t>
  </si>
  <si>
    <t>TE36</t>
  </si>
  <si>
    <t>Parker Washington</t>
  </si>
  <si>
    <t>WR100</t>
  </si>
  <si>
    <t>Jaxson Dart</t>
  </si>
  <si>
    <t>QB35</t>
  </si>
  <si>
    <t>Terrance Ferguson</t>
  </si>
  <si>
    <t>TE37</t>
  </si>
  <si>
    <t>Jacory Croskey-Merritt</t>
  </si>
  <si>
    <t>RB91</t>
  </si>
  <si>
    <t>Jalen Nailor</t>
  </si>
  <si>
    <t>WR101</t>
  </si>
  <si>
    <t>Daniel Carlson</t>
  </si>
  <si>
    <t>K16</t>
  </si>
  <si>
    <t>Christian Watson</t>
  </si>
  <si>
    <t>WR102</t>
  </si>
  <si>
    <t>Damien Martinez</t>
  </si>
  <si>
    <t>RB92</t>
  </si>
  <si>
    <t>Luke McCaffrey</t>
  </si>
  <si>
    <t>WR103</t>
  </si>
  <si>
    <t>Tory Horton</t>
  </si>
  <si>
    <t>WR104</t>
  </si>
  <si>
    <t>Xavier Restrepo</t>
  </si>
  <si>
    <t>WR105</t>
  </si>
  <si>
    <t>Chris Brooks</t>
  </si>
  <si>
    <t>RB93</t>
  </si>
  <si>
    <t>Emanuel Wilson</t>
  </si>
  <si>
    <t>RB94</t>
  </si>
  <si>
    <t>Ty Chandler</t>
  </si>
  <si>
    <t>RB95</t>
  </si>
  <si>
    <t>Noah Fant</t>
  </si>
  <si>
    <t>TE38</t>
  </si>
  <si>
    <t>Zack Moss</t>
  </si>
  <si>
    <t>RB96</t>
  </si>
  <si>
    <t>Phil Mafah</t>
  </si>
  <si>
    <t>RB97</t>
  </si>
  <si>
    <t>Chris Rodriguez Jr.</t>
  </si>
  <si>
    <t>RB98</t>
  </si>
  <si>
    <t>Isaac TeSlaa</t>
  </si>
  <si>
    <t>WR106</t>
  </si>
  <si>
    <t>Jermaine Burton</t>
  </si>
  <si>
    <t>WR107</t>
  </si>
  <si>
    <t>Dont'e Thornton Jr.</t>
  </si>
  <si>
    <t>WR108</t>
  </si>
  <si>
    <t>Oronde Gadsden II</t>
  </si>
  <si>
    <t>TE39</t>
  </si>
  <si>
    <t>Raheim Sanders</t>
  </si>
  <si>
    <t>RB99</t>
  </si>
  <si>
    <t>Will Reichard</t>
  </si>
  <si>
    <t>K17</t>
  </si>
  <si>
    <t>Tez Johnson</t>
  </si>
  <si>
    <t>WR109</t>
  </si>
  <si>
    <t>Jason Myers</t>
  </si>
  <si>
    <t>K18</t>
  </si>
  <si>
    <t>Arizona Cardinals</t>
  </si>
  <si>
    <t>DST20</t>
  </si>
  <si>
    <t>Shedeur Sanders</t>
  </si>
  <si>
    <t>QB36</t>
  </si>
  <si>
    <t>Ben Sinnott</t>
  </si>
  <si>
    <t>TE40</t>
  </si>
  <si>
    <t>Tutu Atwell</t>
  </si>
  <si>
    <t>WR110</t>
  </si>
  <si>
    <t>Zamir White</t>
  </si>
  <si>
    <t>RB100</t>
  </si>
  <si>
    <t>Miami Dolphins</t>
  </si>
  <si>
    <t>DST21</t>
  </si>
  <si>
    <t>Tyler Higbee</t>
  </si>
  <si>
    <t>TE41</t>
  </si>
  <si>
    <t>Tyler Loop</t>
  </si>
  <si>
    <t>K19</t>
  </si>
  <si>
    <t>New England Patriots</t>
  </si>
  <si>
    <t>DST22</t>
  </si>
  <si>
    <t>Gabe Davis</t>
  </si>
  <si>
    <t>WR111</t>
  </si>
  <si>
    <t>Will Dissly</t>
  </si>
  <si>
    <t>TE42</t>
  </si>
  <si>
    <t>Tyler Conklin</t>
  </si>
  <si>
    <t>TE43</t>
  </si>
  <si>
    <t>A.J. Dillon</t>
  </si>
  <si>
    <t>RB101</t>
  </si>
  <si>
    <t>Ray-Ray McCloud III</t>
  </si>
  <si>
    <t>WR112</t>
  </si>
  <si>
    <t>Gus Edwards</t>
  </si>
  <si>
    <t>RB102</t>
  </si>
  <si>
    <t>Jalen Milroe</t>
  </si>
  <si>
    <t>QB37</t>
  </si>
  <si>
    <t>Cam Akers</t>
  </si>
  <si>
    <t>RB103</t>
  </si>
  <si>
    <t>Jordan Whittington</t>
  </si>
  <si>
    <t>WR113</t>
  </si>
  <si>
    <t>Samaje Perine</t>
  </si>
  <si>
    <t>RB104</t>
  </si>
  <si>
    <t>Tai Felton</t>
  </si>
  <si>
    <t>WR114</t>
  </si>
  <si>
    <t>Marquez Valdes-Scantling</t>
  </si>
  <si>
    <t>WR115</t>
  </si>
  <si>
    <t>KaVontae Turpin</t>
  </si>
  <si>
    <t>WR116</t>
  </si>
  <si>
    <t>Demarcus Robinson</t>
  </si>
  <si>
    <t>WR117</t>
  </si>
  <si>
    <t>Noah Brown</t>
  </si>
  <si>
    <t>WR118</t>
  </si>
  <si>
    <t>Dawson Knox</t>
  </si>
  <si>
    <t>TE44</t>
  </si>
  <si>
    <t>John Metchie III</t>
  </si>
  <si>
    <t>WR119</t>
  </si>
  <si>
    <t>Justin Tucker</t>
  </si>
  <si>
    <t>K20</t>
  </si>
  <si>
    <t>Troy Franklin</t>
  </si>
  <si>
    <t>WR120</t>
  </si>
  <si>
    <t>Spencer Rattler</t>
  </si>
  <si>
    <t>QB38</t>
  </si>
  <si>
    <t>AJ Barner</t>
  </si>
  <si>
    <t>TE45</t>
  </si>
  <si>
    <t>Michael Mayer</t>
  </si>
  <si>
    <t>TE46</t>
  </si>
  <si>
    <t>Josh Reynolds</t>
  </si>
  <si>
    <t>WR121</t>
  </si>
  <si>
    <t>Savion Williams</t>
  </si>
  <si>
    <t>WR122</t>
  </si>
  <si>
    <t>Luke Musgrave</t>
  </si>
  <si>
    <t>TE47</t>
  </si>
  <si>
    <t>Mack Hollins</t>
  </si>
  <si>
    <t>WR123</t>
  </si>
  <si>
    <t>Kirk Cousins</t>
  </si>
  <si>
    <t>QB39</t>
  </si>
  <si>
    <t>Austin Hooper</t>
  </si>
  <si>
    <t>TE48</t>
  </si>
  <si>
    <t>Jake Moody</t>
  </si>
  <si>
    <t>K21</t>
  </si>
  <si>
    <t>Donovan Edwards</t>
  </si>
  <si>
    <t>RB105</t>
  </si>
  <si>
    <t>Chimere Dike</t>
  </si>
  <si>
    <t>WR124</t>
  </si>
  <si>
    <t>Jameis Winston</t>
  </si>
  <si>
    <t>QB40</t>
  </si>
  <si>
    <t>LeQuint Allen Jr.</t>
  </si>
  <si>
    <t>RB106</t>
  </si>
  <si>
    <t>Kenny Pickett</t>
  </si>
  <si>
    <t>QB41</t>
  </si>
  <si>
    <t>Jacob Cowing</t>
  </si>
  <si>
    <t>WR125</t>
  </si>
  <si>
    <t>Curtis Samuel</t>
  </si>
  <si>
    <t>WR126</t>
  </si>
  <si>
    <t>Isaiah Bond</t>
  </si>
  <si>
    <t>WR127</t>
  </si>
  <si>
    <t>Gunnar Helm</t>
  </si>
  <si>
    <t>TE49</t>
  </si>
  <si>
    <t>Luke Schoonmaker</t>
  </si>
  <si>
    <t>TE50</t>
  </si>
  <si>
    <t>Jaylin Lane</t>
  </si>
  <si>
    <t>WR128</t>
  </si>
  <si>
    <t>Greg Dortch</t>
  </si>
  <si>
    <t>WR129</t>
  </si>
  <si>
    <t>New York Giants</t>
  </si>
  <si>
    <t>DST23</t>
  </si>
  <si>
    <t>Brandon McManus</t>
  </si>
  <si>
    <t>K22</t>
  </si>
  <si>
    <t>Allen Lazard</t>
  </si>
  <si>
    <t>WR130</t>
  </si>
  <si>
    <t>Foster Moreau</t>
  </si>
  <si>
    <t>TE51</t>
  </si>
  <si>
    <t>Tommy Tremble</t>
  </si>
  <si>
    <t>TE52</t>
  </si>
  <si>
    <t>Washington Commanders</t>
  </si>
  <si>
    <t>DST24</t>
  </si>
  <si>
    <t>Dillon Gabriel</t>
  </si>
  <si>
    <t>QB42</t>
  </si>
  <si>
    <t>KeAndre Lambert-Smith</t>
  </si>
  <si>
    <t>WR131</t>
  </si>
  <si>
    <t>Emari Demercado</t>
  </si>
  <si>
    <t>RB107</t>
  </si>
  <si>
    <t>Jahan Dotson</t>
  </si>
  <si>
    <t>WR132</t>
  </si>
  <si>
    <t>Robert Woods</t>
  </si>
  <si>
    <t>WR133</t>
  </si>
  <si>
    <t>Van Jefferson</t>
  </si>
  <si>
    <t>WR134</t>
  </si>
  <si>
    <t>Eddy Pineiro</t>
  </si>
  <si>
    <t>K23</t>
  </si>
  <si>
    <t>Kalel Mullings</t>
  </si>
  <si>
    <t>RB108</t>
  </si>
  <si>
    <t>Cam Little</t>
  </si>
  <si>
    <t>K24</t>
  </si>
  <si>
    <t>Jalin Hyatt</t>
  </si>
  <si>
    <t>WR135</t>
  </si>
  <si>
    <t>Grant Calcaterra</t>
  </si>
  <si>
    <t>TE53</t>
  </si>
  <si>
    <t>Josh Oliver</t>
  </si>
  <si>
    <t>TE54</t>
  </si>
  <si>
    <t>Tank Dell</t>
  </si>
  <si>
    <t>WR136</t>
  </si>
  <si>
    <t>Kyle Juszczyk</t>
  </si>
  <si>
    <t>RB109</t>
  </si>
  <si>
    <t>Jeremy Ruckert</t>
  </si>
  <si>
    <t>TE55</t>
  </si>
  <si>
    <t>Trey Sermon</t>
  </si>
  <si>
    <t>RB110</t>
  </si>
  <si>
    <t>KhaDarel Hodge</t>
  </si>
  <si>
    <t>WR137</t>
  </si>
  <si>
    <t>Olamide Zaccheaus</t>
  </si>
  <si>
    <t>WR138</t>
  </si>
  <si>
    <t>Matt Prater</t>
  </si>
  <si>
    <t>K25</t>
  </si>
  <si>
    <t>JuJu Smith-Schuster</t>
  </si>
  <si>
    <t>WR139</t>
  </si>
  <si>
    <t>Indianapolis Colts</t>
  </si>
  <si>
    <t>DST25</t>
  </si>
  <si>
    <t>Ja'Quinden Jackson</t>
  </si>
  <si>
    <t>RB111</t>
  </si>
  <si>
    <t>Kendrick Bourne</t>
  </si>
  <si>
    <t>WR140</t>
  </si>
  <si>
    <t>Theo Wease Jr.</t>
  </si>
  <si>
    <t>WR141</t>
  </si>
  <si>
    <t>Craig Reynolds</t>
  </si>
  <si>
    <t>RB112</t>
  </si>
  <si>
    <t>Cade Stover</t>
  </si>
  <si>
    <t>TE56</t>
  </si>
  <si>
    <t>Zay Jones</t>
  </si>
  <si>
    <t>WR142</t>
  </si>
  <si>
    <t>Elijah Higgins</t>
  </si>
  <si>
    <t>TE57</t>
  </si>
  <si>
    <t>RB113</t>
  </si>
  <si>
    <t>Jonathan Mingo</t>
  </si>
  <si>
    <t>WR143</t>
  </si>
  <si>
    <t>Antwane Wells Jr.</t>
  </si>
  <si>
    <t>WR144</t>
  </si>
  <si>
    <t>Malachi Corley</t>
  </si>
  <si>
    <t>WR145</t>
  </si>
  <si>
    <t>Mason Rudolph</t>
  </si>
  <si>
    <t>QB43</t>
  </si>
  <si>
    <t>WR146</t>
  </si>
  <si>
    <t>Hunter Renfrow</t>
  </si>
  <si>
    <t>WR147</t>
  </si>
  <si>
    <t>Blake Grupe</t>
  </si>
  <si>
    <t>K26</t>
  </si>
  <si>
    <t>Aidan O'Connell</t>
  </si>
  <si>
    <t>QB44</t>
  </si>
  <si>
    <t>Stone Smartt</t>
  </si>
  <si>
    <t>TE58</t>
  </si>
  <si>
    <t>Greg Dulcich</t>
  </si>
  <si>
    <t>TE59</t>
  </si>
  <si>
    <t>Joe Milton III</t>
  </si>
  <si>
    <t>QB45</t>
  </si>
  <si>
    <t>Arian Smith</t>
  </si>
  <si>
    <t>WR148</t>
  </si>
  <si>
    <t>Atlanta Falcons</t>
  </si>
  <si>
    <t>DST26</t>
  </si>
  <si>
    <t>Jeremy McNichols</t>
  </si>
  <si>
    <t>RB114</t>
  </si>
  <si>
    <t>Chad Ryland</t>
  </si>
  <si>
    <t>K27</t>
  </si>
  <si>
    <t>Marcus Mariota</t>
  </si>
  <si>
    <t>QB46</t>
  </si>
  <si>
    <t>Mitchell Evans</t>
  </si>
  <si>
    <t>TE60</t>
  </si>
  <si>
    <t>New Orleans Saints</t>
  </si>
  <si>
    <t>DST27</t>
  </si>
  <si>
    <t>Cincinnati Bengals</t>
  </si>
  <si>
    <t>DST28</t>
  </si>
  <si>
    <t>D'Ernest Johnson</t>
  </si>
  <si>
    <t>RB115</t>
  </si>
  <si>
    <t>Kalif Raymond</t>
  </si>
  <si>
    <t>WR149</t>
  </si>
  <si>
    <t>Marcus Yarns</t>
  </si>
  <si>
    <t>RB116</t>
  </si>
  <si>
    <t>Darnell Washington</t>
  </si>
  <si>
    <t>TE61</t>
  </si>
  <si>
    <t>Josh Whyle</t>
  </si>
  <si>
    <t>TE62</t>
  </si>
  <si>
    <t>Tanner Hudson</t>
  </si>
  <si>
    <t>TE63</t>
  </si>
  <si>
    <t>Derius Davis</t>
  </si>
  <si>
    <t>WR150</t>
  </si>
  <si>
    <t>Cairo Santos</t>
  </si>
  <si>
    <t>K28</t>
  </si>
  <si>
    <t>Deshaun Watson</t>
  </si>
  <si>
    <t>QB47</t>
  </si>
  <si>
    <t>Julian Hill</t>
  </si>
  <si>
    <t>TE64</t>
  </si>
  <si>
    <t>Clyde Edwards-Helaire</t>
  </si>
  <si>
    <t>RB117</t>
  </si>
  <si>
    <t>Alec Ingold</t>
  </si>
  <si>
    <t>RB118</t>
  </si>
  <si>
    <t>Javon Baker</t>
  </si>
  <si>
    <t>WR151</t>
  </si>
  <si>
    <t>Zach Wilson</t>
  </si>
  <si>
    <t>QB48</t>
  </si>
  <si>
    <t>Malik Willis</t>
  </si>
  <si>
    <t>QB49</t>
  </si>
  <si>
    <t>Jake Browning</t>
  </si>
  <si>
    <t>QB50</t>
  </si>
  <si>
    <t>Las Vegas Raiders</t>
  </si>
  <si>
    <t>DST29</t>
  </si>
  <si>
    <t>Jonathon Brooks</t>
  </si>
  <si>
    <t>RB119</t>
  </si>
  <si>
    <t>Jake Bobo</t>
  </si>
  <si>
    <t>WR152</t>
  </si>
  <si>
    <t>Jacksonville Jaguars</t>
  </si>
  <si>
    <t>DST30</t>
  </si>
  <si>
    <t>Pierre Strong Jr.</t>
  </si>
  <si>
    <t>RB120</t>
  </si>
  <si>
    <t>Carolina Panthers</t>
  </si>
  <si>
    <t>DST31</t>
  </si>
  <si>
    <t>Tennessee Titans</t>
  </si>
  <si>
    <t>DST32</t>
  </si>
  <si>
    <t>Michael Gallup</t>
  </si>
  <si>
    <t>WR153</t>
  </si>
  <si>
    <t>Tyler Goodson</t>
  </si>
  <si>
    <t>RB121</t>
  </si>
  <si>
    <t>Colby Parkinson</t>
  </si>
  <si>
    <t>TE65</t>
  </si>
  <si>
    <t>WR154</t>
  </si>
  <si>
    <t>Devontez Walker</t>
  </si>
  <si>
    <t>WR155</t>
  </si>
  <si>
    <t>Cordarrelle Patterson</t>
  </si>
  <si>
    <t>RB122</t>
  </si>
  <si>
    <t>Sam Howell</t>
  </si>
  <si>
    <t>QB51</t>
  </si>
  <si>
    <t>Graham Gano</t>
  </si>
  <si>
    <t>K29</t>
  </si>
  <si>
    <t>Tyler Badie</t>
  </si>
  <si>
    <t>RB123</t>
  </si>
  <si>
    <t>TE66</t>
  </si>
  <si>
    <t>Jake Haener</t>
  </si>
  <si>
    <t>QB52</t>
  </si>
  <si>
    <t>Adam Trautman</t>
  </si>
  <si>
    <t>TE67</t>
  </si>
  <si>
    <t>Johnny Mundt</t>
  </si>
  <si>
    <t>TE68</t>
  </si>
  <si>
    <t>Will Howard</t>
  </si>
  <si>
    <t>QB53</t>
  </si>
  <si>
    <t>Drew Sample</t>
  </si>
  <si>
    <t>TE69</t>
  </si>
  <si>
    <t>Michael Carter</t>
  </si>
  <si>
    <t>RB124</t>
  </si>
  <si>
    <t>RB125</t>
  </si>
  <si>
    <t>Mac Jones</t>
  </si>
  <si>
    <t>QB54</t>
  </si>
  <si>
    <t>David Bell</t>
  </si>
  <si>
    <t>WR156</t>
  </si>
  <si>
    <t>John Bates</t>
  </si>
  <si>
    <t>TE70</t>
  </si>
  <si>
    <t>Gardner Minshew II</t>
  </si>
  <si>
    <t>QB55</t>
  </si>
  <si>
    <t>Deuce Vaughn</t>
  </si>
  <si>
    <t>RB126</t>
  </si>
  <si>
    <t>Cooper Rush</t>
  </si>
  <si>
    <t>QB56</t>
  </si>
  <si>
    <t>K.J. Osborn</t>
  </si>
  <si>
    <t>WR157</t>
  </si>
  <si>
    <t>Chris Tyree</t>
  </si>
  <si>
    <t>RB127</t>
  </si>
  <si>
    <t>Luke Lachey</t>
  </si>
  <si>
    <t>TE71</t>
  </si>
  <si>
    <t>Jimmy Garoppolo</t>
  </si>
  <si>
    <t>QB57</t>
  </si>
  <si>
    <t>Hunter Long</t>
  </si>
  <si>
    <t>TE72</t>
  </si>
  <si>
    <t>Dare Ogunbowale</t>
  </si>
  <si>
    <t>RB128</t>
  </si>
  <si>
    <t>Payne Durham</t>
  </si>
  <si>
    <t>TE73</t>
  </si>
  <si>
    <t>WR158</t>
  </si>
  <si>
    <t>Hassan Haskins</t>
  </si>
  <si>
    <t>RB129</t>
  </si>
  <si>
    <t>Brevyn Spann-Ford</t>
  </si>
  <si>
    <t>TE74</t>
  </si>
  <si>
    <t>Taylor Heinicke</t>
  </si>
  <si>
    <t>QB58</t>
  </si>
  <si>
    <t>Andy Dalton</t>
  </si>
  <si>
    <t>QB59</t>
  </si>
  <si>
    <t>Kyle Trask</t>
  </si>
  <si>
    <t>QB60</t>
  </si>
  <si>
    <t>Jamari Thrash</t>
  </si>
  <si>
    <t>WR159</t>
  </si>
  <si>
    <t>Carson Steele</t>
  </si>
  <si>
    <t>RB130</t>
  </si>
  <si>
    <t>Jordan Watkins</t>
  </si>
  <si>
    <t>WR160</t>
  </si>
  <si>
    <t>Tyler Johnson</t>
  </si>
  <si>
    <t>WR161</t>
  </si>
  <si>
    <t>Jacoby Brissett</t>
  </si>
  <si>
    <t>QB61</t>
  </si>
  <si>
    <t>Ronnie Rivers</t>
  </si>
  <si>
    <t>RB131</t>
  </si>
  <si>
    <t>Ricky White III</t>
  </si>
  <si>
    <t>WR162</t>
  </si>
  <si>
    <t>Hunter Luepke</t>
  </si>
  <si>
    <t>RB132</t>
  </si>
  <si>
    <t>Harrison Bryant</t>
  </si>
  <si>
    <t>TE75</t>
  </si>
  <si>
    <t>C.J. Ham</t>
  </si>
  <si>
    <t>RB133</t>
  </si>
  <si>
    <t>Mitchell Trubisky</t>
  </si>
  <si>
    <t>QB62</t>
  </si>
  <si>
    <t>David Moore</t>
  </si>
  <si>
    <t>WR163</t>
  </si>
  <si>
    <t>Cedrick Wilson Jr.</t>
  </si>
  <si>
    <t>WR164</t>
  </si>
  <si>
    <t>Bub Means</t>
  </si>
  <si>
    <t>WR165</t>
  </si>
  <si>
    <t>Efton Chism III</t>
  </si>
  <si>
    <t>WR166</t>
  </si>
  <si>
    <t>Julius Chestnut</t>
  </si>
  <si>
    <t>RB134</t>
  </si>
  <si>
    <t>WR167</t>
  </si>
  <si>
    <t>Jimmy Horn Jr.</t>
  </si>
  <si>
    <t>WR168</t>
  </si>
  <si>
    <t>Brock Wright</t>
  </si>
  <si>
    <t>TE76</t>
  </si>
  <si>
    <t>DeeJay Dallas</t>
  </si>
  <si>
    <t>RB135</t>
  </si>
  <si>
    <t>Joshua Dobbs</t>
  </si>
  <si>
    <t>QB63</t>
  </si>
  <si>
    <t>Kylen Granson</t>
  </si>
  <si>
    <t>TE77</t>
  </si>
  <si>
    <t>Thomas Fidone II</t>
  </si>
  <si>
    <t>TE78</t>
  </si>
  <si>
    <t>Rasheen Ali</t>
  </si>
  <si>
    <t>RB136</t>
  </si>
  <si>
    <t>Jawhar Jordan</t>
  </si>
  <si>
    <t>RB137</t>
  </si>
  <si>
    <t>Charlie Woerner</t>
  </si>
  <si>
    <t>TE79</t>
  </si>
  <si>
    <t>Daniel Bellinger</t>
  </si>
  <si>
    <t>TE80</t>
  </si>
  <si>
    <t>Sione Vaki</t>
  </si>
  <si>
    <t>RB138</t>
  </si>
  <si>
    <t>DJ Chark Jr.</t>
  </si>
  <si>
    <t>WR169</t>
  </si>
  <si>
    <t>Ian Thomas</t>
  </si>
  <si>
    <t>TE81</t>
  </si>
  <si>
    <t>Durham Smythe</t>
  </si>
  <si>
    <t>TE82</t>
  </si>
  <si>
    <t>Jared Wiley</t>
  </si>
  <si>
    <t>TE83</t>
  </si>
  <si>
    <t>Michael Burton</t>
  </si>
  <si>
    <t>RB139</t>
  </si>
  <si>
    <t>Jelani Woods</t>
  </si>
  <si>
    <t>TE84</t>
  </si>
  <si>
    <t>Dylan Laube</t>
  </si>
  <si>
    <t>RB140</t>
  </si>
  <si>
    <t>WR170</t>
  </si>
  <si>
    <t>Mecole Hardman Jr.</t>
  </si>
  <si>
    <t>WR171</t>
  </si>
  <si>
    <t>Eric Gray</t>
  </si>
  <si>
    <t>RB141</t>
  </si>
  <si>
    <t>Eric Saubert</t>
  </si>
  <si>
    <t>TE85</t>
  </si>
  <si>
    <t>Luke Farrell</t>
  </si>
  <si>
    <t>TE86</t>
  </si>
  <si>
    <t>Israel Abanikanda</t>
  </si>
  <si>
    <t>RB142</t>
  </si>
  <si>
    <t>Travis Homer</t>
  </si>
  <si>
    <t>RB143</t>
  </si>
  <si>
    <t>Nick Nash</t>
  </si>
  <si>
    <t>WR172</t>
  </si>
  <si>
    <t>Hendon Hooker</t>
  </si>
  <si>
    <t>QB64</t>
  </si>
  <si>
    <t>Michael Woods II</t>
  </si>
  <si>
    <t>WR173</t>
  </si>
  <si>
    <t>Teagan Quitoriano</t>
  </si>
  <si>
    <t>TE87</t>
  </si>
  <si>
    <t>Pharaoh Brown</t>
  </si>
  <si>
    <t>TE88</t>
  </si>
  <si>
    <t>Ainias Smith</t>
  </si>
  <si>
    <t>WR174</t>
  </si>
  <si>
    <t>Patrick Ricard</t>
  </si>
  <si>
    <t>RB144</t>
  </si>
  <si>
    <t>Simi Fehoko</t>
  </si>
  <si>
    <t>WR175</t>
  </si>
  <si>
    <t>Trent Sherfield Sr.</t>
  </si>
  <si>
    <t>WR176</t>
  </si>
  <si>
    <t>Tylan Wallace</t>
  </si>
  <si>
    <t>WR177</t>
  </si>
  <si>
    <t>Tim Jones</t>
  </si>
  <si>
    <t>WR178</t>
  </si>
  <si>
    <t>Tyson Bagent</t>
  </si>
  <si>
    <t>QB65</t>
  </si>
  <si>
    <t>Bo Melton</t>
  </si>
  <si>
    <t>WR179</t>
  </si>
  <si>
    <t>Carlos Washington Jr.</t>
  </si>
  <si>
    <t>RB145</t>
  </si>
  <si>
    <t>DeAndre Carter</t>
  </si>
  <si>
    <t>WR180</t>
  </si>
  <si>
    <t>Troy Hairston II</t>
  </si>
  <si>
    <t>RB146</t>
  </si>
  <si>
    <t>Velus Jones Jr.</t>
  </si>
  <si>
    <t>WR181</t>
  </si>
  <si>
    <t>Frank Gore Jr.</t>
  </si>
  <si>
    <t>RB147</t>
  </si>
  <si>
    <t>Jakob Johnson</t>
  </si>
  <si>
    <t>RB148</t>
  </si>
  <si>
    <t>RANK</t>
  </si>
  <si>
    <t>PLAYER</t>
  </si>
  <si>
    <t>AJ Dillon</t>
  </si>
  <si>
    <t>Gardner Minshew</t>
  </si>
  <si>
    <t>Spencer Shrader</t>
  </si>
  <si>
    <t>Ryan Fitzgerald</t>
  </si>
  <si>
    <t>Andy Borregales</t>
  </si>
  <si>
    <t>Joey Slye</t>
  </si>
  <si>
    <t>Nick Folk</t>
  </si>
  <si>
    <t>Scott Matlock</t>
  </si>
  <si>
    <t>Tommy Mellott</t>
  </si>
  <si>
    <t>Mo Alie-Cox</t>
  </si>
  <si>
    <t>Tip Reiman</t>
  </si>
  <si>
    <t>Charlie Kolar</t>
  </si>
  <si>
    <t>Scotty Miller</t>
  </si>
  <si>
    <t>BYE WEEK</t>
  </si>
  <si>
    <t>SOS SEASON</t>
  </si>
  <si>
    <t>ECR VS. ADP</t>
  </si>
  <si>
    <t>3 out of 5 stars</t>
  </si>
  <si>
    <t>4 out of 5 stars</t>
  </si>
  <si>
    <t>2 out of 5 stars</t>
  </si>
  <si>
    <t>5 out of 5 stars</t>
  </si>
  <si>
    <t>Chris Godwin Jr.</t>
  </si>
  <si>
    <t>Cam Ward</t>
  </si>
  <si>
    <t>1 out of 5 stars</t>
  </si>
  <si>
    <t>0 out of 5 stars</t>
  </si>
  <si>
    <t>-</t>
  </si>
  <si>
    <t>Xavier Hutchinson</t>
  </si>
  <si>
    <t>K30</t>
  </si>
  <si>
    <t>George Holani</t>
  </si>
  <si>
    <t>Tyquan Thornton</t>
  </si>
  <si>
    <t>Lucky Jackson</t>
  </si>
  <si>
    <t>Casey Washington</t>
  </si>
  <si>
    <t>Tanner McKee</t>
  </si>
  <si>
    <t>Andrew Beck</t>
  </si>
  <si>
    <t>Quinn Ewers</t>
  </si>
  <si>
    <t>Matthew Wright</t>
  </si>
  <si>
    <t>K31</t>
  </si>
  <si>
    <t>Jeff Wilson Jr.</t>
  </si>
  <si>
    <t>K32</t>
  </si>
  <si>
    <t>Mitchell Tinsley</t>
  </si>
  <si>
    <t>Nick Mullens</t>
  </si>
  <si>
    <t>Skyy Moore</t>
  </si>
  <si>
    <t>Davis Mills</t>
  </si>
  <si>
    <t>K33</t>
  </si>
  <si>
    <t>Jarrett Stidham</t>
  </si>
  <si>
    <t>Drew Lock</t>
  </si>
  <si>
    <t>QB66</t>
  </si>
  <si>
    <t>Trey Lance</t>
  </si>
  <si>
    <t>QB67</t>
  </si>
  <si>
    <t>Jase McClellan</t>
  </si>
  <si>
    <t>Ezekiel Elliott</t>
  </si>
  <si>
    <t>QB68</t>
  </si>
  <si>
    <t>Corey Kiner</t>
  </si>
  <si>
    <t>Konata Mumpfield</t>
  </si>
  <si>
    <t>QB69</t>
  </si>
  <si>
    <t>Beaux Collins</t>
  </si>
  <si>
    <t>Russell Gage Jr.</t>
  </si>
  <si>
    <t>QB70</t>
  </si>
  <si>
    <t>Sterling Shepard</t>
  </si>
  <si>
    <t>QB71</t>
  </si>
  <si>
    <t>QB72</t>
  </si>
  <si>
    <t>WR182</t>
  </si>
  <si>
    <t>Robbie Ouzts</t>
  </si>
  <si>
    <t>Dalvin Cook</t>
  </si>
  <si>
    <t>Charlie Jones</t>
  </si>
  <si>
    <t>WR183</t>
  </si>
  <si>
    <t>John Stephens Jr.</t>
  </si>
  <si>
    <t>WR184</t>
  </si>
  <si>
    <t>Ben Skowronek</t>
  </si>
  <si>
    <t>WR185</t>
  </si>
  <si>
    <t>WR186</t>
  </si>
  <si>
    <t>QB73</t>
  </si>
  <si>
    <t>Jalen Brooks</t>
  </si>
  <si>
    <t>WR187</t>
  </si>
  <si>
    <t>Ross Dwelley</t>
  </si>
  <si>
    <t>Lucas Krull</t>
  </si>
  <si>
    <t>Michael Bennett</t>
  </si>
  <si>
    <t>WR188</t>
  </si>
  <si>
    <t>TE89</t>
  </si>
  <si>
    <t>Robert Tonyan</t>
  </si>
  <si>
    <t>TE90</t>
  </si>
  <si>
    <t>TE91</t>
  </si>
  <si>
    <t>Terrace Marshall Jr.</t>
  </si>
  <si>
    <t>WR189</t>
  </si>
  <si>
    <t>Jackson Hawes</t>
  </si>
  <si>
    <t>TE92</t>
  </si>
  <si>
    <t>TE93</t>
  </si>
  <si>
    <t>TE94</t>
  </si>
  <si>
    <t>RB149</t>
  </si>
  <si>
    <t>Cole Turner</t>
  </si>
  <si>
    <t>TE95</t>
  </si>
  <si>
    <t>WR190</t>
  </si>
  <si>
    <t>RB150</t>
  </si>
  <si>
    <t>TE96</t>
  </si>
  <si>
    <t>Keaontay Ingram</t>
  </si>
  <si>
    <t>RB151</t>
  </si>
  <si>
    <t>Kyle Allen</t>
  </si>
  <si>
    <t>QB74</t>
  </si>
  <si>
    <t>RB152</t>
  </si>
  <si>
    <t>RB153</t>
  </si>
  <si>
    <t>WR191</t>
  </si>
  <si>
    <t>WR192</t>
  </si>
  <si>
    <t>Xavier Gipson</t>
  </si>
  <si>
    <t>Tanner Conner</t>
  </si>
  <si>
    <t>Nate Adkins</t>
  </si>
  <si>
    <t>Gavin Bartholomew</t>
  </si>
  <si>
    <t>Davis Allen</t>
  </si>
  <si>
    <t>Connor Heyward</t>
  </si>
  <si>
    <t>Jaheim Bell</t>
  </si>
  <si>
    <t>Drew Ogletree</t>
  </si>
  <si>
    <t>Anthony Gould</t>
  </si>
  <si>
    <t>By Me?</t>
  </si>
  <si>
    <t>QB</t>
  </si>
  <si>
    <t>RB</t>
  </si>
  <si>
    <t>WR</t>
  </si>
  <si>
    <t>TE</t>
  </si>
  <si>
    <t>Flex</t>
  </si>
  <si>
    <t>DST</t>
  </si>
  <si>
    <t>K</t>
  </si>
  <si>
    <t>Bench</t>
  </si>
  <si>
    <t xml:space="preserve">UPSIDE </t>
  </si>
  <si>
    <t xml:space="preserve">BUST </t>
  </si>
  <si>
    <t>Coach Upside rating</t>
  </si>
  <si>
    <t>Coach Bust rating</t>
  </si>
  <si>
    <t>Coach Upside rating‚ÄìNo rating available</t>
  </si>
  <si>
    <t>Coach Bust rating‚ÄìNo rating available</t>
  </si>
  <si>
    <t>Tyrell Shavers</t>
  </si>
  <si>
    <t>Jamaal Williams</t>
  </si>
  <si>
    <t>Carson Wentz</t>
  </si>
  <si>
    <t>Teddy Bridgewater</t>
  </si>
  <si>
    <t>Josh Williams</t>
  </si>
  <si>
    <t>Mason Tipton</t>
  </si>
  <si>
    <t>LaJohntay Wester</t>
  </si>
  <si>
    <t>Kaden Prather</t>
  </si>
  <si>
    <t>QB75</t>
  </si>
  <si>
    <t>Noah Togiai</t>
  </si>
  <si>
    <t>Jason Brownlee</t>
  </si>
  <si>
    <t>Reid Sinnett</t>
  </si>
  <si>
    <t>QB76</t>
  </si>
  <si>
    <t>WR193</t>
  </si>
  <si>
    <t>Junior Bergen</t>
  </si>
  <si>
    <t>WR194</t>
  </si>
  <si>
    <t>A.T. Perry</t>
  </si>
  <si>
    <t>WR195</t>
  </si>
  <si>
    <t>Ronnie Bell</t>
  </si>
  <si>
    <t>WR196</t>
  </si>
  <si>
    <t>Dominic Lovett</t>
  </si>
  <si>
    <t>WR197</t>
  </si>
  <si>
    <t>WR198</t>
  </si>
  <si>
    <t>WR199</t>
  </si>
  <si>
    <t>WR200</t>
  </si>
  <si>
    <t>Andre Szmyt</t>
  </si>
  <si>
    <t>Moliki Matavao</t>
  </si>
  <si>
    <t>Nathan Carter</t>
  </si>
  <si>
    <t>Xavier Weaver</t>
  </si>
  <si>
    <t>Ashton Dulin</t>
  </si>
  <si>
    <t>Will Mallory</t>
  </si>
  <si>
    <t>2 WR 2 Flex</t>
  </si>
  <si>
    <t>Standard</t>
  </si>
  <si>
    <t>3 WR 1 Flex</t>
  </si>
  <si>
    <t>K34</t>
  </si>
  <si>
    <t>Zavier Scott</t>
  </si>
  <si>
    <t>Kene Nwangwu</t>
  </si>
  <si>
    <t>Riley Leonard</t>
  </si>
  <si>
    <t>QB77</t>
  </si>
  <si>
    <t>TE97</t>
  </si>
  <si>
    <t>WR201</t>
  </si>
  <si>
    <t>TE98</t>
  </si>
  <si>
    <t>WR202</t>
  </si>
  <si>
    <t>WR203</t>
  </si>
  <si>
    <t>WR204</t>
  </si>
  <si>
    <t>RB154</t>
  </si>
  <si>
    <t>WR205</t>
  </si>
  <si>
    <t>RB155</t>
  </si>
  <si>
    <t>RB156</t>
  </si>
  <si>
    <t>WR206</t>
  </si>
  <si>
    <t>WR207</t>
  </si>
  <si>
    <t>K35</t>
  </si>
  <si>
    <t>Riley Patterson</t>
  </si>
  <si>
    <t>K36</t>
  </si>
  <si>
    <t>Zonovan Knight</t>
  </si>
  <si>
    <t>Jordan Mims</t>
  </si>
  <si>
    <t>Gerald Everett</t>
  </si>
  <si>
    <t>Joshua Simon</t>
  </si>
  <si>
    <t>Caleb Lohner</t>
  </si>
  <si>
    <t>TE99</t>
  </si>
  <si>
    <t>TE100</t>
  </si>
  <si>
    <t>TE101</t>
  </si>
  <si>
    <t>Devin Culp</t>
  </si>
  <si>
    <t>TE102</t>
  </si>
  <si>
    <t>TE103</t>
  </si>
  <si>
    <t>TE104</t>
  </si>
  <si>
    <t>TE105</t>
  </si>
  <si>
    <t>TE106</t>
  </si>
  <si>
    <t>Jake Briningstool</t>
  </si>
  <si>
    <t>TE107</t>
  </si>
  <si>
    <t>TE108</t>
  </si>
  <si>
    <t>Tanner McLachlan</t>
  </si>
  <si>
    <t>TE109</t>
  </si>
  <si>
    <t>TE110</t>
  </si>
  <si>
    <t>TE111</t>
  </si>
  <si>
    <t>Tyler Boyd</t>
  </si>
  <si>
    <t>Montrell Johnson Jr.</t>
  </si>
  <si>
    <t>TE112</t>
  </si>
  <si>
    <t>Nelson Agholor</t>
  </si>
  <si>
    <t>TE113</t>
  </si>
  <si>
    <t>WR208</t>
  </si>
  <si>
    <t>Rakim Jarrett</t>
  </si>
  <si>
    <t>WR209</t>
  </si>
  <si>
    <t>WR210</t>
  </si>
  <si>
    <t>Braxton Berrios</t>
  </si>
  <si>
    <t>WR211</t>
  </si>
  <si>
    <t>RB157</t>
  </si>
  <si>
    <t>RB158</t>
  </si>
  <si>
    <t>RB159</t>
  </si>
  <si>
    <t>WR212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</si>
</sst>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2" fillId="2" borderId="0" xfId="0" applyFont="1" applyFill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0" xfId="0" applyNumberFormat="1" applyFont="1"/>
    <xf numFmtId="0" fontId="3" fillId="0" borderId="1" xfId="0" applyFont="1" applyBorder="1"/>
    <xf numFmtId="0" fontId="3" fillId="0" borderId="3" xfId="0" applyFont="1" applyBorder="1"/>
    <xf numFmtId="0" fontId="0" fillId="0" borderId="4" xfId="0" applyBorder="1"/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434343"/>
          <bgColor theme="1" tint="0.24994659260841701"/>
        </patternFill>
      </fill>
    </dxf>
    <dxf>
      <fill>
        <patternFill patternType="solid">
          <fgColor rgb="FF434343"/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ntasyPros_2025_Draft_ALL_Rankings-7" connectionId="2" xr16:uid="{33E58D4D-85A4-1A4D-9026-94EB1749E8A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epseek_csv_20250903_ef11c1-2" connectionId="1" xr16:uid="{94E0F60C-F146-D649-A006-45CBA0A7B3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70"/>
  <sheetViews>
    <sheetView tabSelected="1" defaultGridColor="0" colorId="9" zoomScale="148" zoomScaleNormal="148" workbookViewId="0">
      <pane ySplit="1" topLeftCell="A2" activePane="bottomLeft" state="frozen"/>
      <selection activeCell="B1" sqref="B1"/>
      <selection pane="bottomLeft" activeCell="J2" sqref="J2"/>
    </sheetView>
  </sheetViews>
  <sheetFormatPr baseColWidth="10" defaultColWidth="12.6640625" defaultRowHeight="15.75" customHeight="1" x14ac:dyDescent="0.15"/>
  <cols>
    <col min="1" max="1" width="8.83203125" bestFit="1" customWidth="1"/>
    <col min="2" max="2" width="8.6640625" customWidth="1"/>
    <col min="3" max="3" width="10.1640625" customWidth="1"/>
    <col min="4" max="4" width="18" customWidth="1"/>
    <col min="5" max="6" width="9.83203125" customWidth="1"/>
    <col min="7" max="7" width="12.6640625" customWidth="1"/>
    <col min="8" max="8" width="6.5" customWidth="1"/>
    <col min="9" max="9" width="7.6640625" customWidth="1"/>
    <col min="10" max="10" width="10.1640625" customWidth="1"/>
    <col min="11" max="11" width="11.6640625" customWidth="1"/>
    <col min="12" max="12" width="14.6640625" customWidth="1"/>
    <col min="13" max="13" width="23.6640625" customWidth="1"/>
  </cols>
  <sheetData>
    <row r="1" spans="1:16" ht="15.75" customHeight="1" x14ac:dyDescent="0.15">
      <c r="A1" s="4" t="str">
        <f>"Pick: " &amp; ( COUNTIF( E2:F184, TRUE ) + 1 )</f>
        <v>Pick: 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1236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6" t="s">
        <v>10</v>
      </c>
    </row>
    <row r="2" spans="1:16" ht="15.75" customHeight="1" x14ac:dyDescent="0.15">
      <c r="A2" s="7"/>
      <c r="B2" s="1">
        <f t="shared" ref="B2:B33" si="0">ROUNDUP( $C2 / 12,0)</f>
        <v>1</v>
      </c>
      <c r="C2" s="1">
        <v>1</v>
      </c>
      <c r="D2" s="1" t="str">
        <f>_xlfn.XLOOKUP( C2, 'FP Ranking'!$A$2:$A$544, 'FP Ranking'!$C$2:$C$544 )</f>
        <v>Ja'Marr Chase</v>
      </c>
      <c r="E2" s="8" t="b">
        <v>0</v>
      </c>
      <c r="F2" s="8" t="b">
        <v>0</v>
      </c>
      <c r="G2" s="1">
        <f xml:space="preserve"> _xlfn.XLOOKUP(  D2, 'ESPN Ranking'!$B$2:$B$544, 'ESPN Ranking'!$A$2:$A$544 )</f>
        <v>1</v>
      </c>
      <c r="H2" s="1">
        <f>_xlfn.XLOOKUP( C2, 'FP Ranking'!$A$2:$A$544, 'FP Ranking'!$B$2:$B$544 )</f>
        <v>1</v>
      </c>
      <c r="I2" s="1" t="str">
        <f>_xlfn.XLOOKUP( C2, 'FP Ranking'!$A$2:$A$544, 'FP Ranking'!$D$2:$D$544 )</f>
        <v>CIN</v>
      </c>
      <c r="J2" s="1" t="str" cm="1">
        <f t="array" ref="J2">LEFT(_xlfn.XLOOKUP(C2, 'FP Ranking'!$A$2:$A$544, 'FP Ranking'!$E$2:$E$544), MIN(SEARCH({1,2,3,4,5,6,7,8,9,0}, _xlfn.XLOOKUP(C2, 'FP Ranking'!$A$2:$A$544, 'FP Ranking'!$E$2:$E$544)&amp;{1,2,3,4,5,6,7,8,9,0}))-1)</f>
        <v>WR</v>
      </c>
      <c r="K2" s="1">
        <f t="shared" ref="K2:K33" si="1">G2 - C2</f>
        <v>0</v>
      </c>
      <c r="L2" s="9">
        <f t="shared" ref="L2:L33" si="2">( K2 / -LN( 1 / ( C2^128 + 1 ) ) )</f>
        <v>0</v>
      </c>
      <c r="M2" s="2">
        <f t="shared" ref="M2:M33" si="3">PERCENTRANK( $L$2:$L$251, L2 )</f>
        <v>0.437</v>
      </c>
    </row>
    <row r="3" spans="1:16" ht="15.75" customHeight="1" x14ac:dyDescent="0.15">
      <c r="A3" s="7"/>
      <c r="B3" s="1">
        <f t="shared" si="0"/>
        <v>1</v>
      </c>
      <c r="C3" s="1">
        <v>2</v>
      </c>
      <c r="D3" s="1" t="str">
        <f>_xlfn.XLOOKUP( C3, 'FP Ranking'!$A$2:$A$544, 'FP Ranking'!$C$2:$C$544 )</f>
        <v>Bijan Robinson</v>
      </c>
      <c r="E3" s="8" t="b">
        <v>0</v>
      </c>
      <c r="F3" s="8" t="b">
        <v>0</v>
      </c>
      <c r="G3" s="1">
        <f xml:space="preserve"> _xlfn.XLOOKUP(  D3, 'ESPN Ranking'!$B$2:$B$544, 'ESPN Ranking'!$A$2:$A$544 )</f>
        <v>2</v>
      </c>
      <c r="H3" s="1">
        <f>_xlfn.XLOOKUP( C3, 'FP Ranking'!$A$2:$A$544, 'FP Ranking'!$B$2:$B$544 )</f>
        <v>1</v>
      </c>
      <c r="I3" s="1" t="str">
        <f>_xlfn.XLOOKUP( C3, 'FP Ranking'!$A$2:$A$544, 'FP Ranking'!$D$2:$D$544 )</f>
        <v>ATL</v>
      </c>
      <c r="J3" s="1" t="str" cm="1">
        <f t="array" ref="J3">LEFT(_xlfn.XLOOKUP(C3, 'FP Ranking'!$A$2:$A$544, 'FP Ranking'!$E$2:$E$544), MIN(SEARCH({1,2,3,4,5,6,7,8,9,0}, _xlfn.XLOOKUP(C3, 'FP Ranking'!$A$2:$A$544, 'FP Ranking'!$E$2:$E$544)&amp;{1,2,3,4,5,6,7,8,9,0}))-1)</f>
        <v>RB</v>
      </c>
      <c r="K3" s="1">
        <f t="shared" si="1"/>
        <v>0</v>
      </c>
      <c r="L3" s="9">
        <f t="shared" si="2"/>
        <v>0</v>
      </c>
      <c r="M3" s="2">
        <f t="shared" si="3"/>
        <v>0.437</v>
      </c>
    </row>
    <row r="4" spans="1:16" ht="15.75" customHeight="1" x14ac:dyDescent="0.15">
      <c r="A4" s="7"/>
      <c r="B4" s="1">
        <f t="shared" si="0"/>
        <v>1</v>
      </c>
      <c r="C4" s="1">
        <v>3</v>
      </c>
      <c r="D4" s="1" t="str">
        <f>_xlfn.XLOOKUP( C4, 'FP Ranking'!$A$2:$A$544, 'FP Ranking'!$C$2:$C$544 )</f>
        <v>Jahmyr Gibbs</v>
      </c>
      <c r="E4" s="8" t="b">
        <v>0</v>
      </c>
      <c r="F4" s="8" t="b">
        <v>0</v>
      </c>
      <c r="G4" s="1">
        <f xml:space="preserve"> _xlfn.XLOOKUP(  D4, 'ESPN Ranking'!$B$2:$B$544, 'ESPN Ranking'!$A$2:$A$544 )</f>
        <v>5</v>
      </c>
      <c r="H4" s="1">
        <f>_xlfn.XLOOKUP( C4, 'FP Ranking'!$A$2:$A$544, 'FP Ranking'!$B$2:$B$544 )</f>
        <v>1</v>
      </c>
      <c r="I4" s="1" t="str">
        <f>_xlfn.XLOOKUP( C4, 'FP Ranking'!$A$2:$A$544, 'FP Ranking'!$D$2:$D$544 )</f>
        <v>DET</v>
      </c>
      <c r="J4" s="1" t="str" cm="1">
        <f t="array" ref="J4">LEFT(_xlfn.XLOOKUP(C4, 'FP Ranking'!$A$2:$A$544, 'FP Ranking'!$E$2:$E$544), MIN(SEARCH({1,2,3,4,5,6,7,8,9,0}, _xlfn.XLOOKUP(C4, 'FP Ranking'!$A$2:$A$544, 'FP Ranking'!$E$2:$E$544)&amp;{1,2,3,4,5,6,7,8,9,0}))-1)</f>
        <v>RB</v>
      </c>
      <c r="K4" s="1">
        <f t="shared" si="1"/>
        <v>2</v>
      </c>
      <c r="L4" s="9">
        <f t="shared" si="2"/>
        <v>1.4222487916044333E-2</v>
      </c>
      <c r="M4" s="2">
        <f t="shared" si="3"/>
        <v>0.70299999999999996</v>
      </c>
      <c r="P4" s="3"/>
    </row>
    <row r="5" spans="1:16" ht="15.75" customHeight="1" x14ac:dyDescent="0.15">
      <c r="A5" s="7"/>
      <c r="B5" s="1">
        <f t="shared" si="0"/>
        <v>1</v>
      </c>
      <c r="C5" s="1">
        <v>4</v>
      </c>
      <c r="D5" s="1" t="str">
        <f>_xlfn.XLOOKUP( C5, 'FP Ranking'!$A$2:$A$544, 'FP Ranking'!$C$2:$C$544 )</f>
        <v>CeeDee Lamb</v>
      </c>
      <c r="E5" s="8" t="b">
        <v>0</v>
      </c>
      <c r="F5" s="8" t="b">
        <v>0</v>
      </c>
      <c r="G5" s="1">
        <f xml:space="preserve"> _xlfn.XLOOKUP(  D5, 'ESPN Ranking'!$B$2:$B$544, 'ESPN Ranking'!$A$2:$A$544 )</f>
        <v>7</v>
      </c>
      <c r="H5" s="1">
        <f>_xlfn.XLOOKUP( C5, 'FP Ranking'!$A$2:$A$544, 'FP Ranking'!$B$2:$B$544 )</f>
        <v>1</v>
      </c>
      <c r="I5" s="1" t="str">
        <f>_xlfn.XLOOKUP( C5, 'FP Ranking'!$A$2:$A$544, 'FP Ranking'!$D$2:$D$544 )</f>
        <v>DAL</v>
      </c>
      <c r="J5" s="1" t="str" cm="1">
        <f t="array" ref="J5">LEFT(_xlfn.XLOOKUP(C5, 'FP Ranking'!$A$2:$A$544, 'FP Ranking'!$E$2:$E$544), MIN(SEARCH({1,2,3,4,5,6,7,8,9,0}, _xlfn.XLOOKUP(C5, 'FP Ranking'!$A$2:$A$544, 'FP Ranking'!$E$2:$E$544)&amp;{1,2,3,4,5,6,7,8,9,0}))-1)</f>
        <v>WR</v>
      </c>
      <c r="K5" s="1">
        <f t="shared" si="1"/>
        <v>3</v>
      </c>
      <c r="L5" s="9">
        <f t="shared" si="2"/>
        <v>1.6906582510417541E-2</v>
      </c>
      <c r="M5" s="2">
        <f t="shared" si="3"/>
        <v>0.73299999999999998</v>
      </c>
      <c r="P5" s="3"/>
    </row>
    <row r="6" spans="1:16" ht="15.75" customHeight="1" x14ac:dyDescent="0.15">
      <c r="A6" s="7"/>
      <c r="B6" s="1">
        <f t="shared" si="0"/>
        <v>1</v>
      </c>
      <c r="C6" s="1">
        <v>5</v>
      </c>
      <c r="D6" s="1" t="str">
        <f>_xlfn.XLOOKUP( C6, 'FP Ranking'!$A$2:$A$544, 'FP Ranking'!$C$2:$C$544 )</f>
        <v>Saquon Barkley</v>
      </c>
      <c r="E6" s="8" t="b">
        <v>0</v>
      </c>
      <c r="F6" s="8" t="b">
        <v>0</v>
      </c>
      <c r="G6" s="1">
        <f xml:space="preserve"> _xlfn.XLOOKUP(  D6, 'ESPN Ranking'!$B$2:$B$544, 'ESPN Ranking'!$A$2:$A$544 )</f>
        <v>4</v>
      </c>
      <c r="H6" s="1">
        <f>_xlfn.XLOOKUP( C6, 'FP Ranking'!$A$2:$A$544, 'FP Ranking'!$B$2:$B$544 )</f>
        <v>1</v>
      </c>
      <c r="I6" s="1" t="str">
        <f>_xlfn.XLOOKUP( C6, 'FP Ranking'!$A$2:$A$544, 'FP Ranking'!$D$2:$D$544 )</f>
        <v>PHI</v>
      </c>
      <c r="J6" s="1" t="str" cm="1">
        <f t="array" ref="J6">LEFT(_xlfn.XLOOKUP(C6, 'FP Ranking'!$A$2:$A$544, 'FP Ranking'!$E$2:$E$544), MIN(SEARCH({1,2,3,4,5,6,7,8,9,0}, _xlfn.XLOOKUP(C6, 'FP Ranking'!$A$2:$A$544, 'FP Ranking'!$E$2:$E$544)&amp;{1,2,3,4,5,6,7,8,9,0}))-1)</f>
        <v>RB</v>
      </c>
      <c r="K6" s="1">
        <f t="shared" si="1"/>
        <v>-1</v>
      </c>
      <c r="L6" s="9">
        <f t="shared" si="2"/>
        <v>-4.8541791762469677E-3</v>
      </c>
      <c r="M6" s="2">
        <f t="shared" si="3"/>
        <v>0.371</v>
      </c>
      <c r="P6" s="3"/>
    </row>
    <row r="7" spans="1:16" ht="15.75" customHeight="1" x14ac:dyDescent="0.15">
      <c r="A7" s="7"/>
      <c r="B7" s="1">
        <f t="shared" si="0"/>
        <v>1</v>
      </c>
      <c r="C7" s="1">
        <v>6</v>
      </c>
      <c r="D7" s="1" t="str">
        <f>_xlfn.XLOOKUP( C7, 'FP Ranking'!$A$2:$A$544, 'FP Ranking'!$C$2:$C$544 )</f>
        <v>Justin Jefferson</v>
      </c>
      <c r="E7" s="8" t="b">
        <v>0</v>
      </c>
      <c r="F7" s="8" t="b">
        <v>0</v>
      </c>
      <c r="G7" s="1">
        <f xml:space="preserve"> _xlfn.XLOOKUP(  D7, 'ESPN Ranking'!$B$2:$B$544, 'ESPN Ranking'!$A$2:$A$544 )</f>
        <v>3</v>
      </c>
      <c r="H7" s="1">
        <f>_xlfn.XLOOKUP( C7, 'FP Ranking'!$A$2:$A$544, 'FP Ranking'!$B$2:$B$544 )</f>
        <v>1</v>
      </c>
      <c r="I7" s="1" t="str">
        <f>_xlfn.XLOOKUP( C7, 'FP Ranking'!$A$2:$A$544, 'FP Ranking'!$D$2:$D$544 )</f>
        <v>MIN</v>
      </c>
      <c r="J7" s="1" t="str" cm="1">
        <f t="array" ref="J7">LEFT(_xlfn.XLOOKUP(C7, 'FP Ranking'!$A$2:$A$544, 'FP Ranking'!$E$2:$E$544), MIN(SEARCH({1,2,3,4,5,6,7,8,9,0}, _xlfn.XLOOKUP(C7, 'FP Ranking'!$A$2:$A$544, 'FP Ranking'!$E$2:$E$544)&amp;{1,2,3,4,5,6,7,8,9,0}))-1)</f>
        <v>WR</v>
      </c>
      <c r="K7" s="1">
        <f t="shared" si="1"/>
        <v>-3</v>
      </c>
      <c r="L7" s="9">
        <f t="shared" si="2"/>
        <v>-1.3080717809794858E-2</v>
      </c>
      <c r="M7" s="2">
        <f t="shared" si="3"/>
        <v>0.21099999999999999</v>
      </c>
      <c r="P7" s="3"/>
    </row>
    <row r="8" spans="1:16" ht="15.75" customHeight="1" x14ac:dyDescent="0.15">
      <c r="A8" s="7"/>
      <c r="B8" s="1">
        <f t="shared" si="0"/>
        <v>1</v>
      </c>
      <c r="C8" s="1">
        <v>7</v>
      </c>
      <c r="D8" s="1" t="str">
        <f>_xlfn.XLOOKUP( C8, 'FP Ranking'!$A$2:$A$544, 'FP Ranking'!$C$2:$C$544 )</f>
        <v>Malik Nabers</v>
      </c>
      <c r="E8" s="8" t="b">
        <v>0</v>
      </c>
      <c r="F8" s="8" t="b">
        <v>0</v>
      </c>
      <c r="G8" s="1">
        <f xml:space="preserve"> _xlfn.XLOOKUP(  D8, 'ESPN Ranking'!$B$2:$B$544, 'ESPN Ranking'!$A$2:$A$544 )</f>
        <v>8</v>
      </c>
      <c r="H8" s="1">
        <f>_xlfn.XLOOKUP( C8, 'FP Ranking'!$A$2:$A$544, 'FP Ranking'!$B$2:$B$544 )</f>
        <v>2</v>
      </c>
      <c r="I8" s="1" t="str">
        <f>_xlfn.XLOOKUP( C8, 'FP Ranking'!$A$2:$A$544, 'FP Ranking'!$D$2:$D$544 )</f>
        <v>NYG</v>
      </c>
      <c r="J8" s="1" t="str" cm="1">
        <f t="array" ref="J8">LEFT(_xlfn.XLOOKUP(C8, 'FP Ranking'!$A$2:$A$544, 'FP Ranking'!$E$2:$E$544), MIN(SEARCH({1,2,3,4,5,6,7,8,9,0}, _xlfn.XLOOKUP(C8, 'FP Ranking'!$A$2:$A$544, 'FP Ranking'!$E$2:$E$544)&amp;{1,2,3,4,5,6,7,8,9,0}))-1)</f>
        <v>WR</v>
      </c>
      <c r="K8" s="1">
        <f t="shared" si="1"/>
        <v>1</v>
      </c>
      <c r="L8" s="9">
        <f t="shared" si="2"/>
        <v>4.0148307997636776E-3</v>
      </c>
      <c r="M8" s="2">
        <f t="shared" si="3"/>
        <v>0.55200000000000005</v>
      </c>
      <c r="P8" s="3"/>
    </row>
    <row r="9" spans="1:16" ht="15.75" customHeight="1" x14ac:dyDescent="0.15">
      <c r="A9" s="7"/>
      <c r="B9" s="1">
        <f t="shared" si="0"/>
        <v>1</v>
      </c>
      <c r="C9" s="1">
        <v>8</v>
      </c>
      <c r="D9" s="1" t="str">
        <f>_xlfn.XLOOKUP( C9, 'FP Ranking'!$A$2:$A$544, 'FP Ranking'!$C$2:$C$544 )</f>
        <v>Christian McCaffrey</v>
      </c>
      <c r="E9" s="8" t="b">
        <v>0</v>
      </c>
      <c r="F9" s="8" t="b">
        <v>0</v>
      </c>
      <c r="G9" s="1">
        <f xml:space="preserve"> _xlfn.XLOOKUP(  D9, 'ESPN Ranking'!$B$2:$B$544, 'ESPN Ranking'!$A$2:$A$544 )</f>
        <v>6</v>
      </c>
      <c r="H9" s="1">
        <f>_xlfn.XLOOKUP( C9, 'FP Ranking'!$A$2:$A$544, 'FP Ranking'!$B$2:$B$544 )</f>
        <v>2</v>
      </c>
      <c r="I9" s="1" t="str">
        <f>_xlfn.XLOOKUP( C9, 'FP Ranking'!$A$2:$A$544, 'FP Ranking'!$D$2:$D$544 )</f>
        <v>SF</v>
      </c>
      <c r="J9" s="1" t="str" cm="1">
        <f t="array" ref="J9">LEFT(_xlfn.XLOOKUP(C9, 'FP Ranking'!$A$2:$A$544, 'FP Ranking'!$E$2:$E$544), MIN(SEARCH({1,2,3,4,5,6,7,8,9,0}, _xlfn.XLOOKUP(C9, 'FP Ranking'!$A$2:$A$544, 'FP Ranking'!$E$2:$E$544)&amp;{1,2,3,4,5,6,7,8,9,0}))-1)</f>
        <v>RB</v>
      </c>
      <c r="K9" s="1">
        <f t="shared" si="1"/>
        <v>-2</v>
      </c>
      <c r="L9" s="9">
        <f t="shared" si="2"/>
        <v>-7.5140366712966849E-3</v>
      </c>
      <c r="M9" s="2">
        <f t="shared" si="3"/>
        <v>0.311</v>
      </c>
      <c r="P9" s="3"/>
    </row>
    <row r="10" spans="1:16" ht="15.75" customHeight="1" x14ac:dyDescent="0.15">
      <c r="A10" s="7"/>
      <c r="B10" s="1">
        <f t="shared" si="0"/>
        <v>1</v>
      </c>
      <c r="C10" s="1">
        <v>9</v>
      </c>
      <c r="D10" s="1" t="str">
        <f>_xlfn.XLOOKUP( C10, 'FP Ranking'!$A$2:$A$544, 'FP Ranking'!$C$2:$C$544 )</f>
        <v>Nico Collins</v>
      </c>
      <c r="E10" s="8" t="b">
        <v>0</v>
      </c>
      <c r="F10" s="8" t="b">
        <v>0</v>
      </c>
      <c r="G10" s="1">
        <f xml:space="preserve"> _xlfn.XLOOKUP(  D10, 'ESPN Ranking'!$B$2:$B$544, 'ESPN Ranking'!$A$2:$A$544 )</f>
        <v>13</v>
      </c>
      <c r="H10" s="1">
        <f>_xlfn.XLOOKUP( C10, 'FP Ranking'!$A$2:$A$544, 'FP Ranking'!$B$2:$B$544 )</f>
        <v>2</v>
      </c>
      <c r="I10" s="1" t="str">
        <f>_xlfn.XLOOKUP( C10, 'FP Ranking'!$A$2:$A$544, 'FP Ranking'!$D$2:$D$544 )</f>
        <v>HOU</v>
      </c>
      <c r="J10" s="1" t="str" cm="1">
        <f t="array" ref="J10">LEFT(_xlfn.XLOOKUP(C10, 'FP Ranking'!$A$2:$A$544, 'FP Ranking'!$E$2:$E$544), MIN(SEARCH({1,2,3,4,5,6,7,8,9,0}, _xlfn.XLOOKUP(C10, 'FP Ranking'!$A$2:$A$544, 'FP Ranking'!$E$2:$E$544)&amp;{1,2,3,4,5,6,7,8,9,0}))-1)</f>
        <v>WR</v>
      </c>
      <c r="K10" s="1">
        <f t="shared" si="1"/>
        <v>4</v>
      </c>
      <c r="L10" s="9">
        <f t="shared" si="2"/>
        <v>1.4222487916044333E-2</v>
      </c>
      <c r="M10" s="2">
        <f t="shared" si="3"/>
        <v>0.70299999999999996</v>
      </c>
      <c r="P10" s="3"/>
    </row>
    <row r="11" spans="1:16" ht="15.75" customHeight="1" x14ac:dyDescent="0.15">
      <c r="A11" s="7"/>
      <c r="B11" s="1">
        <f t="shared" si="0"/>
        <v>1</v>
      </c>
      <c r="C11" s="1">
        <v>10</v>
      </c>
      <c r="D11" s="1" t="str">
        <f>_xlfn.XLOOKUP( C11, 'FP Ranking'!$A$2:$A$544, 'FP Ranking'!$C$2:$C$544 )</f>
        <v>Amon-Ra St. Brown</v>
      </c>
      <c r="E11" s="8" t="b">
        <v>0</v>
      </c>
      <c r="F11" s="8" t="b">
        <v>0</v>
      </c>
      <c r="G11" s="1">
        <f xml:space="preserve"> _xlfn.XLOOKUP(  D11, 'ESPN Ranking'!$B$2:$B$544, 'ESPN Ranking'!$A$2:$A$544 )</f>
        <v>11</v>
      </c>
      <c r="H11" s="1">
        <f>_xlfn.XLOOKUP( C11, 'FP Ranking'!$A$2:$A$544, 'FP Ranking'!$B$2:$B$544 )</f>
        <v>2</v>
      </c>
      <c r="I11" s="1" t="str">
        <f>_xlfn.XLOOKUP( C11, 'FP Ranking'!$A$2:$A$544, 'FP Ranking'!$D$2:$D$544 )</f>
        <v>DET</v>
      </c>
      <c r="J11" s="1" t="str" cm="1">
        <f t="array" ref="J11">LEFT(_xlfn.XLOOKUP(C11, 'FP Ranking'!$A$2:$A$544, 'FP Ranking'!$E$2:$E$544), MIN(SEARCH({1,2,3,4,5,6,7,8,9,0}, _xlfn.XLOOKUP(C11, 'FP Ranking'!$A$2:$A$544, 'FP Ranking'!$E$2:$E$544)&amp;{1,2,3,4,5,6,7,8,9,0}))-1)</f>
        <v>WR</v>
      </c>
      <c r="K11" s="1">
        <f t="shared" si="1"/>
        <v>1</v>
      </c>
      <c r="L11" s="9">
        <f t="shared" si="2"/>
        <v>3.3929256398691544E-3</v>
      </c>
      <c r="M11" s="2">
        <f t="shared" si="3"/>
        <v>0.54700000000000004</v>
      </c>
      <c r="P11" s="3"/>
    </row>
    <row r="12" spans="1:16" ht="15.75" customHeight="1" x14ac:dyDescent="0.15">
      <c r="A12" s="7"/>
      <c r="B12" s="1">
        <f t="shared" si="0"/>
        <v>1</v>
      </c>
      <c r="C12" s="1">
        <v>11</v>
      </c>
      <c r="D12" s="1" t="str">
        <f>_xlfn.XLOOKUP( C12, 'FP Ranking'!$A$2:$A$544, 'FP Ranking'!$C$2:$C$544 )</f>
        <v>Derrick Henry</v>
      </c>
      <c r="E12" s="8" t="b">
        <v>0</v>
      </c>
      <c r="F12" s="8" t="b">
        <v>0</v>
      </c>
      <c r="G12" s="1">
        <f xml:space="preserve"> _xlfn.XLOOKUP(  D12, 'ESPN Ranking'!$B$2:$B$544, 'ESPN Ranking'!$A$2:$A$544 )</f>
        <v>19</v>
      </c>
      <c r="H12" s="1">
        <f>_xlfn.XLOOKUP( C12, 'FP Ranking'!$A$2:$A$544, 'FP Ranking'!$B$2:$B$544 )</f>
        <v>2</v>
      </c>
      <c r="I12" s="1" t="str">
        <f>_xlfn.XLOOKUP( C12, 'FP Ranking'!$A$2:$A$544, 'FP Ranking'!$D$2:$D$544 )</f>
        <v>BAL</v>
      </c>
      <c r="J12" s="1" t="str" cm="1">
        <f t="array" ref="J12">LEFT(_xlfn.XLOOKUP(C12, 'FP Ranking'!$A$2:$A$544, 'FP Ranking'!$E$2:$E$544), MIN(SEARCH({1,2,3,4,5,6,7,8,9,0}, _xlfn.XLOOKUP(C12, 'FP Ranking'!$A$2:$A$544, 'FP Ranking'!$E$2:$E$544)&amp;{1,2,3,4,5,6,7,8,9,0}))-1)</f>
        <v>RB</v>
      </c>
      <c r="K12" s="1">
        <f t="shared" si="1"/>
        <v>8</v>
      </c>
      <c r="L12" s="9">
        <f t="shared" si="2"/>
        <v>2.6064524464015394E-2</v>
      </c>
      <c r="M12" s="2">
        <f t="shared" si="3"/>
        <v>0.81899999999999995</v>
      </c>
      <c r="P12" s="3"/>
    </row>
    <row r="13" spans="1:16" ht="15.75" customHeight="1" x14ac:dyDescent="0.15">
      <c r="A13" s="7"/>
      <c r="B13" s="1">
        <f t="shared" si="0"/>
        <v>1</v>
      </c>
      <c r="C13" s="1">
        <v>12</v>
      </c>
      <c r="D13" s="1" t="str">
        <f>_xlfn.XLOOKUP( C13, 'FP Ranking'!$A$2:$A$544, 'FP Ranking'!$C$2:$C$544 )</f>
        <v>Puka Nacua</v>
      </c>
      <c r="E13" s="8" t="b">
        <v>0</v>
      </c>
      <c r="F13" s="8" t="b">
        <v>0</v>
      </c>
      <c r="G13" s="1">
        <f xml:space="preserve"> _xlfn.XLOOKUP(  D13, 'ESPN Ranking'!$B$2:$B$544, 'ESPN Ranking'!$A$2:$A$544 )</f>
        <v>9</v>
      </c>
      <c r="H13" s="1">
        <f>_xlfn.XLOOKUP( C13, 'FP Ranking'!$A$2:$A$544, 'FP Ranking'!$B$2:$B$544 )</f>
        <v>2</v>
      </c>
      <c r="I13" s="1" t="str">
        <f>_xlfn.XLOOKUP( C13, 'FP Ranking'!$A$2:$A$544, 'FP Ranking'!$D$2:$D$544 )</f>
        <v>LAR</v>
      </c>
      <c r="J13" s="1" t="str" cm="1">
        <f t="array" ref="J13">LEFT(_xlfn.XLOOKUP(C13, 'FP Ranking'!$A$2:$A$544, 'FP Ranking'!$E$2:$E$544), MIN(SEARCH({1,2,3,4,5,6,7,8,9,0}, _xlfn.XLOOKUP(C13, 'FP Ranking'!$A$2:$A$544, 'FP Ranking'!$E$2:$E$544)&amp;{1,2,3,4,5,6,7,8,9,0}))-1)</f>
        <v>WR</v>
      </c>
      <c r="K13" s="1">
        <f t="shared" si="1"/>
        <v>-3</v>
      </c>
      <c r="L13" s="9">
        <f t="shared" si="2"/>
        <v>-9.4319438526994839E-3</v>
      </c>
      <c r="M13" s="2">
        <f t="shared" si="3"/>
        <v>0.27600000000000002</v>
      </c>
      <c r="P13" s="3"/>
    </row>
    <row r="14" spans="1:16" ht="15.75" customHeight="1" x14ac:dyDescent="0.15">
      <c r="A14" s="7"/>
      <c r="B14" s="1">
        <f t="shared" si="0"/>
        <v>2</v>
      </c>
      <c r="C14" s="1">
        <v>13</v>
      </c>
      <c r="D14" s="1" t="str">
        <f>_xlfn.XLOOKUP( C14, 'FP Ranking'!$A$2:$A$544, 'FP Ranking'!$C$2:$C$544 )</f>
        <v>Ashton Jeanty</v>
      </c>
      <c r="E14" s="8" t="b">
        <v>0</v>
      </c>
      <c r="F14" s="8" t="b">
        <v>0</v>
      </c>
      <c r="G14" s="1">
        <f xml:space="preserve"> _xlfn.XLOOKUP(  D14, 'ESPN Ranking'!$B$2:$B$544, 'ESPN Ranking'!$A$2:$A$544 )</f>
        <v>10</v>
      </c>
      <c r="H14" s="1">
        <f>_xlfn.XLOOKUP( C14, 'FP Ranking'!$A$2:$A$544, 'FP Ranking'!$B$2:$B$544 )</f>
        <v>2</v>
      </c>
      <c r="I14" s="1" t="str">
        <f>_xlfn.XLOOKUP( C14, 'FP Ranking'!$A$2:$A$544, 'FP Ranking'!$D$2:$D$544 )</f>
        <v>LV</v>
      </c>
      <c r="J14" s="1" t="str" cm="1">
        <f t="array" ref="J14">LEFT(_xlfn.XLOOKUP(C14, 'FP Ranking'!$A$2:$A$544, 'FP Ranking'!$E$2:$E$544), MIN(SEARCH({1,2,3,4,5,6,7,8,9,0}, _xlfn.XLOOKUP(C14, 'FP Ranking'!$A$2:$A$544, 'FP Ranking'!$E$2:$E$544)&amp;{1,2,3,4,5,6,7,8,9,0}))-1)</f>
        <v>RB</v>
      </c>
      <c r="K14" s="1">
        <f t="shared" si="1"/>
        <v>-3</v>
      </c>
      <c r="L14" s="9">
        <f t="shared" si="2"/>
        <v>-9.1376073105768757E-3</v>
      </c>
      <c r="M14" s="2">
        <f t="shared" si="3"/>
        <v>0.28599999999999998</v>
      </c>
      <c r="P14" s="3"/>
    </row>
    <row r="15" spans="1:16" ht="15.75" customHeight="1" x14ac:dyDescent="0.15">
      <c r="A15" s="7"/>
      <c r="B15" s="1">
        <f t="shared" si="0"/>
        <v>2</v>
      </c>
      <c r="C15" s="1">
        <v>14</v>
      </c>
      <c r="D15" s="1" t="str">
        <f>_xlfn.XLOOKUP( C15, 'FP Ranking'!$A$2:$A$544, 'FP Ranking'!$C$2:$C$544 )</f>
        <v>Brian Thomas Jr.</v>
      </c>
      <c r="E15" s="8" t="b">
        <v>0</v>
      </c>
      <c r="F15" s="8" t="b">
        <v>0</v>
      </c>
      <c r="G15" s="1">
        <f xml:space="preserve"> _xlfn.XLOOKUP(  D15, 'ESPN Ranking'!$B$2:$B$544, 'ESPN Ranking'!$A$2:$A$544 )</f>
        <v>14</v>
      </c>
      <c r="H15" s="1">
        <f>_xlfn.XLOOKUP( C15, 'FP Ranking'!$A$2:$A$544, 'FP Ranking'!$B$2:$B$544 )</f>
        <v>2</v>
      </c>
      <c r="I15" s="1" t="str">
        <f>_xlfn.XLOOKUP( C15, 'FP Ranking'!$A$2:$A$544, 'FP Ranking'!$D$2:$D$544 )</f>
        <v>JAC</v>
      </c>
      <c r="J15" s="1" t="str" cm="1">
        <f t="array" ref="J15">LEFT(_xlfn.XLOOKUP(C15, 'FP Ranking'!$A$2:$A$544, 'FP Ranking'!$E$2:$E$544), MIN(SEARCH({1,2,3,4,5,6,7,8,9,0}, _xlfn.XLOOKUP(C15, 'FP Ranking'!$A$2:$A$544, 'FP Ranking'!$E$2:$E$544)&amp;{1,2,3,4,5,6,7,8,9,0}))-1)</f>
        <v>WR</v>
      </c>
      <c r="K15" s="1">
        <f t="shared" si="1"/>
        <v>0</v>
      </c>
      <c r="L15" s="9">
        <f t="shared" si="2"/>
        <v>0</v>
      </c>
      <c r="M15" s="2">
        <f t="shared" si="3"/>
        <v>0.437</v>
      </c>
      <c r="P15" s="3"/>
    </row>
    <row r="16" spans="1:16" ht="15.75" customHeight="1" x14ac:dyDescent="0.15">
      <c r="A16" s="7"/>
      <c r="B16" s="1">
        <f t="shared" si="0"/>
        <v>2</v>
      </c>
      <c r="C16" s="1">
        <v>15</v>
      </c>
      <c r="D16" s="1" t="str">
        <f>_xlfn.XLOOKUP( C16, 'FP Ranking'!$A$2:$A$544, 'FP Ranking'!$C$2:$C$544 )</f>
        <v>Drake London</v>
      </c>
      <c r="E16" s="8" t="b">
        <v>0</v>
      </c>
      <c r="F16" s="8" t="b">
        <v>0</v>
      </c>
      <c r="G16" s="1">
        <f xml:space="preserve"> _xlfn.XLOOKUP(  D16, 'ESPN Ranking'!$B$2:$B$544, 'ESPN Ranking'!$A$2:$A$544 )</f>
        <v>16</v>
      </c>
      <c r="H16" s="1">
        <f>_xlfn.XLOOKUP( C16, 'FP Ranking'!$A$2:$A$544, 'FP Ranking'!$B$2:$B$544 )</f>
        <v>2</v>
      </c>
      <c r="I16" s="1" t="str">
        <f>_xlfn.XLOOKUP( C16, 'FP Ranking'!$A$2:$A$544, 'FP Ranking'!$D$2:$D$544 )</f>
        <v>ATL</v>
      </c>
      <c r="J16" s="1" t="str" cm="1">
        <f t="array" ref="J16">LEFT(_xlfn.XLOOKUP(C16, 'FP Ranking'!$A$2:$A$544, 'FP Ranking'!$E$2:$E$544), MIN(SEARCH({1,2,3,4,5,6,7,8,9,0}, _xlfn.XLOOKUP(C16, 'FP Ranking'!$A$2:$A$544, 'FP Ranking'!$E$2:$E$544)&amp;{1,2,3,4,5,6,7,8,9,0}))-1)</f>
        <v>WR</v>
      </c>
      <c r="K16" s="1">
        <f t="shared" si="1"/>
        <v>1</v>
      </c>
      <c r="L16" s="9">
        <f t="shared" si="2"/>
        <v>2.88491697710043E-3</v>
      </c>
      <c r="M16" s="2">
        <f t="shared" si="3"/>
        <v>0.53200000000000003</v>
      </c>
      <c r="P16" s="3"/>
    </row>
    <row r="17" spans="1:16" ht="15.75" customHeight="1" x14ac:dyDescent="0.15">
      <c r="A17" s="7"/>
      <c r="B17" s="1">
        <f t="shared" si="0"/>
        <v>2</v>
      </c>
      <c r="C17" s="1">
        <v>16</v>
      </c>
      <c r="D17" s="1" t="str">
        <f>_xlfn.XLOOKUP( C17, 'FP Ranking'!$A$2:$A$544, 'FP Ranking'!$C$2:$C$544 )</f>
        <v>De'Von Achane</v>
      </c>
      <c r="E17" s="8" t="b">
        <v>0</v>
      </c>
      <c r="F17" s="8" t="b">
        <v>0</v>
      </c>
      <c r="G17" s="1">
        <f xml:space="preserve"> _xlfn.XLOOKUP(  D17, 'ESPN Ranking'!$B$2:$B$544, 'ESPN Ranking'!$A$2:$A$544 )</f>
        <v>12</v>
      </c>
      <c r="H17" s="1">
        <f>_xlfn.XLOOKUP( C17, 'FP Ranking'!$A$2:$A$544, 'FP Ranking'!$B$2:$B$544 )</f>
        <v>3</v>
      </c>
      <c r="I17" s="1" t="str">
        <f>_xlfn.XLOOKUP( C17, 'FP Ranking'!$A$2:$A$544, 'FP Ranking'!$D$2:$D$544 )</f>
        <v>MIA</v>
      </c>
      <c r="J17" s="1" t="str" cm="1">
        <f t="array" ref="J17">LEFT(_xlfn.XLOOKUP(C17, 'FP Ranking'!$A$2:$A$544, 'FP Ranking'!$E$2:$E$544), MIN(SEARCH({1,2,3,4,5,6,7,8,9,0}, _xlfn.XLOOKUP(C17, 'FP Ranking'!$A$2:$A$544, 'FP Ranking'!$E$2:$E$544)&amp;{1,2,3,4,5,6,7,8,9,0}))-1)</f>
        <v>RB</v>
      </c>
      <c r="K17" s="1">
        <f t="shared" si="1"/>
        <v>-4</v>
      </c>
      <c r="L17" s="9">
        <f t="shared" si="2"/>
        <v>-1.1271055006945026E-2</v>
      </c>
      <c r="M17" s="2">
        <f t="shared" si="3"/>
        <v>0.251</v>
      </c>
      <c r="P17" s="3"/>
    </row>
    <row r="18" spans="1:16" ht="15.75" customHeight="1" x14ac:dyDescent="0.15">
      <c r="A18" s="7"/>
      <c r="B18" s="1">
        <f t="shared" si="0"/>
        <v>2</v>
      </c>
      <c r="C18" s="1">
        <v>17</v>
      </c>
      <c r="D18" s="1" t="str">
        <f>_xlfn.XLOOKUP( C18, 'FP Ranking'!$A$2:$A$544, 'FP Ranking'!$C$2:$C$544 )</f>
        <v>Jonathan Taylor</v>
      </c>
      <c r="E18" s="8" t="b">
        <v>0</v>
      </c>
      <c r="F18" s="8" t="b">
        <v>0</v>
      </c>
      <c r="G18" s="1">
        <f xml:space="preserve"> _xlfn.XLOOKUP(  D18, 'ESPN Ranking'!$B$2:$B$544, 'ESPN Ranking'!$A$2:$A$544 )</f>
        <v>17</v>
      </c>
      <c r="H18" s="1">
        <f>_xlfn.XLOOKUP( C18, 'FP Ranking'!$A$2:$A$544, 'FP Ranking'!$B$2:$B$544 )</f>
        <v>3</v>
      </c>
      <c r="I18" s="1" t="str">
        <f>_xlfn.XLOOKUP( C18, 'FP Ranking'!$A$2:$A$544, 'FP Ranking'!$D$2:$D$544 )</f>
        <v>IND</v>
      </c>
      <c r="J18" s="1" t="str" cm="1">
        <f t="array" ref="J18">LEFT(_xlfn.XLOOKUP(C18, 'FP Ranking'!$A$2:$A$544, 'FP Ranking'!$E$2:$E$544), MIN(SEARCH({1,2,3,4,5,6,7,8,9,0}, _xlfn.XLOOKUP(C18, 'FP Ranking'!$A$2:$A$544, 'FP Ranking'!$E$2:$E$544)&amp;{1,2,3,4,5,6,7,8,9,0}))-1)</f>
        <v>RB</v>
      </c>
      <c r="K18" s="1">
        <f t="shared" si="1"/>
        <v>0</v>
      </c>
      <c r="L18" s="9">
        <f t="shared" si="2"/>
        <v>0</v>
      </c>
      <c r="M18" s="2">
        <f t="shared" si="3"/>
        <v>0.437</v>
      </c>
      <c r="P18" s="3"/>
    </row>
    <row r="19" spans="1:16" ht="15.75" customHeight="1" x14ac:dyDescent="0.15">
      <c r="A19" s="7"/>
      <c r="B19" s="1">
        <f t="shared" si="0"/>
        <v>2</v>
      </c>
      <c r="C19" s="1">
        <v>18</v>
      </c>
      <c r="D19" s="1" t="str">
        <f>_xlfn.XLOOKUP( C19, 'FP Ranking'!$A$2:$A$544, 'FP Ranking'!$C$2:$C$544 )</f>
        <v>A.J. Brown</v>
      </c>
      <c r="E19" s="8" t="b">
        <v>0</v>
      </c>
      <c r="F19" s="8" t="b">
        <v>0</v>
      </c>
      <c r="G19" s="1">
        <f xml:space="preserve"> _xlfn.XLOOKUP(  D19, 'ESPN Ranking'!$B$2:$B$544, 'ESPN Ranking'!$A$2:$A$544 )</f>
        <v>15</v>
      </c>
      <c r="H19" s="1">
        <f>_xlfn.XLOOKUP( C19, 'FP Ranking'!$A$2:$A$544, 'FP Ranking'!$B$2:$B$544 )</f>
        <v>3</v>
      </c>
      <c r="I19" s="1" t="str">
        <f>_xlfn.XLOOKUP( C19, 'FP Ranking'!$A$2:$A$544, 'FP Ranking'!$D$2:$D$544 )</f>
        <v>PHI</v>
      </c>
      <c r="J19" s="1" t="str" cm="1">
        <f t="array" ref="J19">LEFT(_xlfn.XLOOKUP(C19, 'FP Ranking'!$A$2:$A$544, 'FP Ranking'!$E$2:$E$544), MIN(SEARCH({1,2,3,4,5,6,7,8,9,0}, _xlfn.XLOOKUP(C19, 'FP Ranking'!$A$2:$A$544, 'FP Ranking'!$E$2:$E$544)&amp;{1,2,3,4,5,6,7,8,9,0}))-1)</f>
        <v>WR</v>
      </c>
      <c r="K19" s="1">
        <f t="shared" si="1"/>
        <v>-3</v>
      </c>
      <c r="L19" s="9">
        <f t="shared" si="2"/>
        <v>-8.1088185061217247E-3</v>
      </c>
      <c r="M19" s="2">
        <f t="shared" si="3"/>
        <v>0.30099999999999999</v>
      </c>
      <c r="P19" s="3"/>
    </row>
    <row r="20" spans="1:16" ht="15.75" customHeight="1" x14ac:dyDescent="0.15">
      <c r="A20" s="7"/>
      <c r="B20" s="1">
        <f t="shared" si="0"/>
        <v>2</v>
      </c>
      <c r="C20" s="1">
        <v>19</v>
      </c>
      <c r="D20" s="1" t="str">
        <f>_xlfn.XLOOKUP( C20, 'FP Ranking'!$A$2:$A$544, 'FP Ranking'!$C$2:$C$544 )</f>
        <v>Brock Bowers</v>
      </c>
      <c r="E20" s="8" t="b">
        <v>0</v>
      </c>
      <c r="F20" s="8" t="b">
        <v>0</v>
      </c>
      <c r="G20" s="1">
        <f xml:space="preserve"> _xlfn.XLOOKUP(  D20, 'ESPN Ranking'!$B$2:$B$544, 'ESPN Ranking'!$A$2:$A$544 )</f>
        <v>20</v>
      </c>
      <c r="H20" s="1">
        <f>_xlfn.XLOOKUP( C20, 'FP Ranking'!$A$2:$A$544, 'FP Ranking'!$B$2:$B$544 )</f>
        <v>3</v>
      </c>
      <c r="I20" s="1" t="str">
        <f>_xlfn.XLOOKUP( C20, 'FP Ranking'!$A$2:$A$544, 'FP Ranking'!$D$2:$D$544 )</f>
        <v>LV</v>
      </c>
      <c r="J20" s="1" t="str" cm="1">
        <f t="array" ref="J20">LEFT(_xlfn.XLOOKUP(C20, 'FP Ranking'!$A$2:$A$544, 'FP Ranking'!$E$2:$E$544), MIN(SEARCH({1,2,3,4,5,6,7,8,9,0}, _xlfn.XLOOKUP(C20, 'FP Ranking'!$A$2:$A$544, 'FP Ranking'!$E$2:$E$544)&amp;{1,2,3,4,5,6,7,8,9,0}))-1)</f>
        <v>TE</v>
      </c>
      <c r="K20" s="1">
        <f t="shared" si="1"/>
        <v>1</v>
      </c>
      <c r="L20" s="9">
        <f t="shared" si="2"/>
        <v>2.653306811680536E-3</v>
      </c>
      <c r="M20" s="2">
        <f t="shared" si="3"/>
        <v>0.52700000000000002</v>
      </c>
      <c r="P20" s="3"/>
    </row>
    <row r="21" spans="1:16" ht="15.75" customHeight="1" x14ac:dyDescent="0.15">
      <c r="A21" s="7"/>
      <c r="B21" s="1">
        <f t="shared" si="0"/>
        <v>2</v>
      </c>
      <c r="C21" s="1">
        <v>20</v>
      </c>
      <c r="D21" s="1" t="str">
        <f>_xlfn.XLOOKUP( C21, 'FP Ranking'!$A$2:$A$544, 'FP Ranking'!$C$2:$C$544 )</f>
        <v>Josh Jacobs</v>
      </c>
      <c r="E21" s="8" t="b">
        <v>0</v>
      </c>
      <c r="F21" s="8" t="b">
        <v>0</v>
      </c>
      <c r="G21" s="1">
        <f xml:space="preserve"> _xlfn.XLOOKUP(  D21, 'ESPN Ranking'!$B$2:$B$544, 'ESPN Ranking'!$A$2:$A$544 )</f>
        <v>18</v>
      </c>
      <c r="H21" s="1">
        <f>_xlfn.XLOOKUP( C21, 'FP Ranking'!$A$2:$A$544, 'FP Ranking'!$B$2:$B$544 )</f>
        <v>3</v>
      </c>
      <c r="I21" s="1" t="str">
        <f>_xlfn.XLOOKUP( C21, 'FP Ranking'!$A$2:$A$544, 'FP Ranking'!$D$2:$D$544 )</f>
        <v>GB</v>
      </c>
      <c r="J21" s="1" t="str" cm="1">
        <f t="array" ref="J21">LEFT(_xlfn.XLOOKUP(C21, 'FP Ranking'!$A$2:$A$544, 'FP Ranking'!$E$2:$E$544), MIN(SEARCH({1,2,3,4,5,6,7,8,9,0}, _xlfn.XLOOKUP(C21, 'FP Ranking'!$A$2:$A$544, 'FP Ranking'!$E$2:$E$544)&amp;{1,2,3,4,5,6,7,8,9,0}))-1)</f>
        <v>RB</v>
      </c>
      <c r="K21" s="1">
        <f t="shared" si="1"/>
        <v>-2</v>
      </c>
      <c r="L21" s="9">
        <f t="shared" si="2"/>
        <v>-5.2157531358645948E-3</v>
      </c>
      <c r="M21" s="2">
        <f t="shared" si="3"/>
        <v>0.35599999999999998</v>
      </c>
    </row>
    <row r="22" spans="1:16" ht="15.75" customHeight="1" x14ac:dyDescent="0.15">
      <c r="A22" s="7"/>
      <c r="B22" s="1">
        <f t="shared" si="0"/>
        <v>2</v>
      </c>
      <c r="C22" s="1">
        <v>21</v>
      </c>
      <c r="D22" s="1" t="str">
        <f>_xlfn.XLOOKUP( C22, 'FP Ranking'!$A$2:$A$544, 'FP Ranking'!$C$2:$C$544 )</f>
        <v>Chase Brown</v>
      </c>
      <c r="E22" s="8" t="b">
        <v>0</v>
      </c>
      <c r="F22" s="8" t="b">
        <v>0</v>
      </c>
      <c r="G22" s="1">
        <f xml:space="preserve"> _xlfn.XLOOKUP(  D22, 'ESPN Ranking'!$B$2:$B$544, 'ESPN Ranking'!$A$2:$A$544 )</f>
        <v>23</v>
      </c>
      <c r="H22" s="1">
        <f>_xlfn.XLOOKUP( C22, 'FP Ranking'!$A$2:$A$544, 'FP Ranking'!$B$2:$B$544 )</f>
        <v>3</v>
      </c>
      <c r="I22" s="1" t="str">
        <f>_xlfn.XLOOKUP( C22, 'FP Ranking'!$A$2:$A$544, 'FP Ranking'!$D$2:$D$544 )</f>
        <v>CIN</v>
      </c>
      <c r="J22" s="1" t="str" cm="1">
        <f t="array" ref="J22">LEFT(_xlfn.XLOOKUP(C22, 'FP Ranking'!$A$2:$A$544, 'FP Ranking'!$E$2:$E$544), MIN(SEARCH({1,2,3,4,5,6,7,8,9,0}, _xlfn.XLOOKUP(C22, 'FP Ranking'!$A$2:$A$544, 'FP Ranking'!$E$2:$E$544)&amp;{1,2,3,4,5,6,7,8,9,0}))-1)</f>
        <v>RB</v>
      </c>
      <c r="K22" s="1">
        <f t="shared" si="1"/>
        <v>2</v>
      </c>
      <c r="L22" s="9">
        <f t="shared" si="2"/>
        <v>5.1321677930164233E-3</v>
      </c>
      <c r="M22" s="2">
        <f t="shared" si="3"/>
        <v>0.57199999999999995</v>
      </c>
    </row>
    <row r="23" spans="1:16" ht="15.75" customHeight="1" x14ac:dyDescent="0.15">
      <c r="A23" s="7"/>
      <c r="B23" s="1">
        <f t="shared" si="0"/>
        <v>2</v>
      </c>
      <c r="C23" s="1">
        <v>22</v>
      </c>
      <c r="D23" s="1" t="str">
        <f>_xlfn.XLOOKUP( C23, 'FP Ranking'!$A$2:$A$544, 'FP Ranking'!$C$2:$C$544 )</f>
        <v>Bucky Irving</v>
      </c>
      <c r="E23" s="8" t="b">
        <v>0</v>
      </c>
      <c r="F23" s="8" t="b">
        <v>0</v>
      </c>
      <c r="G23" s="1">
        <f xml:space="preserve"> _xlfn.XLOOKUP(  D23, 'ESPN Ranking'!$B$2:$B$544, 'ESPN Ranking'!$A$2:$A$544 )</f>
        <v>22</v>
      </c>
      <c r="H23" s="1">
        <f>_xlfn.XLOOKUP( C23, 'FP Ranking'!$A$2:$A$544, 'FP Ranking'!$B$2:$B$544 )</f>
        <v>3</v>
      </c>
      <c r="I23" s="1" t="str">
        <f>_xlfn.XLOOKUP( C23, 'FP Ranking'!$A$2:$A$544, 'FP Ranking'!$D$2:$D$544 )</f>
        <v>TB</v>
      </c>
      <c r="J23" s="1" t="str" cm="1">
        <f t="array" ref="J23">LEFT(_xlfn.XLOOKUP(C23, 'FP Ranking'!$A$2:$A$544, 'FP Ranking'!$E$2:$E$544), MIN(SEARCH({1,2,3,4,5,6,7,8,9,0}, _xlfn.XLOOKUP(C23, 'FP Ranking'!$A$2:$A$544, 'FP Ranking'!$E$2:$E$544)&amp;{1,2,3,4,5,6,7,8,9,0}))-1)</f>
        <v>RB</v>
      </c>
      <c r="K23" s="1">
        <f t="shared" si="1"/>
        <v>0</v>
      </c>
      <c r="L23" s="9">
        <f t="shared" si="2"/>
        <v>0</v>
      </c>
      <c r="M23" s="2">
        <f t="shared" si="3"/>
        <v>0.437</v>
      </c>
    </row>
    <row r="24" spans="1:16" ht="15.75" customHeight="1" x14ac:dyDescent="0.15">
      <c r="A24" s="7"/>
      <c r="B24" s="1">
        <f t="shared" si="0"/>
        <v>2</v>
      </c>
      <c r="C24" s="1">
        <v>23</v>
      </c>
      <c r="D24" s="1" t="str">
        <f>_xlfn.XLOOKUP( C24, 'FP Ranking'!$A$2:$A$544, 'FP Ranking'!$C$2:$C$544 )</f>
        <v>Trey McBride</v>
      </c>
      <c r="E24" s="8" t="b">
        <v>0</v>
      </c>
      <c r="F24" s="8" t="b">
        <v>0</v>
      </c>
      <c r="G24" s="1">
        <f xml:space="preserve"> _xlfn.XLOOKUP(  D24, 'ESPN Ranking'!$B$2:$B$544, 'ESPN Ranking'!$A$2:$A$544 )</f>
        <v>21</v>
      </c>
      <c r="H24" s="1">
        <f>_xlfn.XLOOKUP( C24, 'FP Ranking'!$A$2:$A$544, 'FP Ranking'!$B$2:$B$544 )</f>
        <v>3</v>
      </c>
      <c r="I24" s="1" t="str">
        <f>_xlfn.XLOOKUP( C24, 'FP Ranking'!$A$2:$A$544, 'FP Ranking'!$D$2:$D$544 )</f>
        <v>ARI</v>
      </c>
      <c r="J24" s="1" t="str" cm="1">
        <f t="array" ref="J24">LEFT(_xlfn.XLOOKUP(C24, 'FP Ranking'!$A$2:$A$544, 'FP Ranking'!$E$2:$E$544), MIN(SEARCH({1,2,3,4,5,6,7,8,9,0}, _xlfn.XLOOKUP(C24, 'FP Ranking'!$A$2:$A$544, 'FP Ranking'!$E$2:$E$544)&amp;{1,2,3,4,5,6,7,8,9,0}))-1)</f>
        <v>TE</v>
      </c>
      <c r="K24" s="1">
        <f t="shared" si="1"/>
        <v>-2</v>
      </c>
      <c r="L24" s="9">
        <f t="shared" si="2"/>
        <v>-4.9832654516218907E-3</v>
      </c>
      <c r="M24" s="2">
        <f t="shared" si="3"/>
        <v>0.36599999999999999</v>
      </c>
    </row>
    <row r="25" spans="1:16" ht="15.75" customHeight="1" x14ac:dyDescent="0.15">
      <c r="A25" s="7"/>
      <c r="B25" s="1">
        <f t="shared" si="0"/>
        <v>2</v>
      </c>
      <c r="C25" s="1">
        <v>24</v>
      </c>
      <c r="D25" s="1" t="str">
        <f>_xlfn.XLOOKUP( C25, 'FP Ranking'!$A$2:$A$544, 'FP Ranking'!$C$2:$C$544 )</f>
        <v>Ladd McConkey</v>
      </c>
      <c r="E25" s="8" t="b">
        <v>0</v>
      </c>
      <c r="F25" s="8" t="b">
        <v>0</v>
      </c>
      <c r="G25" s="1">
        <f xml:space="preserve"> _xlfn.XLOOKUP(  D25, 'ESPN Ranking'!$B$2:$B$544, 'ESPN Ranking'!$A$2:$A$544 )</f>
        <v>26</v>
      </c>
      <c r="H25" s="1">
        <f>_xlfn.XLOOKUP( C25, 'FP Ranking'!$A$2:$A$544, 'FP Ranking'!$B$2:$B$544 )</f>
        <v>3</v>
      </c>
      <c r="I25" s="1" t="str">
        <f>_xlfn.XLOOKUP( C25, 'FP Ranking'!$A$2:$A$544, 'FP Ranking'!$D$2:$D$544 )</f>
        <v>LAC</v>
      </c>
      <c r="J25" s="1" t="str" cm="1">
        <f t="array" ref="J25">LEFT(_xlfn.XLOOKUP(C25, 'FP Ranking'!$A$2:$A$544, 'FP Ranking'!$E$2:$E$544), MIN(SEARCH({1,2,3,4,5,6,7,8,9,0}, _xlfn.XLOOKUP(C25, 'FP Ranking'!$A$2:$A$544, 'FP Ranking'!$E$2:$E$544)&amp;{1,2,3,4,5,6,7,8,9,0}))-1)</f>
        <v>WR</v>
      </c>
      <c r="K25" s="1">
        <f t="shared" si="1"/>
        <v>2</v>
      </c>
      <c r="L25" s="9">
        <f t="shared" si="2"/>
        <v>4.9165309444394508E-3</v>
      </c>
      <c r="M25" s="2">
        <f t="shared" si="3"/>
        <v>0.56699999999999995</v>
      </c>
    </row>
    <row r="26" spans="1:16" ht="15.75" customHeight="1" x14ac:dyDescent="0.15">
      <c r="A26" s="7"/>
      <c r="B26" s="1">
        <f t="shared" si="0"/>
        <v>3</v>
      </c>
      <c r="C26" s="1">
        <v>25</v>
      </c>
      <c r="D26" s="1" t="str">
        <f>_xlfn.XLOOKUP( C26, 'FP Ranking'!$A$2:$A$544, 'FP Ranking'!$C$2:$C$544 )</f>
        <v>Josh Allen</v>
      </c>
      <c r="E26" s="8" t="b">
        <v>0</v>
      </c>
      <c r="F26" s="8" t="b">
        <v>0</v>
      </c>
      <c r="G26" s="1">
        <f xml:space="preserve"> _xlfn.XLOOKUP(  D26, 'ESPN Ranking'!$B$2:$B$544, 'ESPN Ranking'!$A$2:$A$544 )</f>
        <v>28</v>
      </c>
      <c r="H26" s="1">
        <f>_xlfn.XLOOKUP( C26, 'FP Ranking'!$A$2:$A$544, 'FP Ranking'!$B$2:$B$544 )</f>
        <v>3</v>
      </c>
      <c r="I26" s="1" t="str">
        <f>_xlfn.XLOOKUP( C26, 'FP Ranking'!$A$2:$A$544, 'FP Ranking'!$D$2:$D$544 )</f>
        <v>BUF</v>
      </c>
      <c r="J26" s="1" t="str" cm="1">
        <f t="array" ref="J26">LEFT(_xlfn.XLOOKUP(C26, 'FP Ranking'!$A$2:$A$544, 'FP Ranking'!$E$2:$E$544), MIN(SEARCH({1,2,3,4,5,6,7,8,9,0}, _xlfn.XLOOKUP(C26, 'FP Ranking'!$A$2:$A$544, 'FP Ranking'!$E$2:$E$544)&amp;{1,2,3,4,5,6,7,8,9,0}))-1)</f>
        <v>QB</v>
      </c>
      <c r="K26" s="1">
        <f t="shared" si="1"/>
        <v>3</v>
      </c>
      <c r="L26" s="9">
        <f t="shared" si="2"/>
        <v>7.2812687643704511E-3</v>
      </c>
      <c r="M26" s="2">
        <f t="shared" si="3"/>
        <v>0.61299999999999999</v>
      </c>
    </row>
    <row r="27" spans="1:16" ht="15.75" customHeight="1" x14ac:dyDescent="0.15">
      <c r="A27" s="7"/>
      <c r="B27" s="1">
        <f t="shared" si="0"/>
        <v>3</v>
      </c>
      <c r="C27" s="1">
        <v>26</v>
      </c>
      <c r="D27" s="1" t="str">
        <f>_xlfn.XLOOKUP( C27, 'FP Ranking'!$A$2:$A$544, 'FP Ranking'!$C$2:$C$544 )</f>
        <v>Lamar Jackson</v>
      </c>
      <c r="E27" s="8" t="b">
        <v>0</v>
      </c>
      <c r="F27" s="8" t="b">
        <v>0</v>
      </c>
      <c r="G27" s="1">
        <f xml:space="preserve"> _xlfn.XLOOKUP(  D27, 'ESPN Ranking'!$B$2:$B$544, 'ESPN Ranking'!$A$2:$A$544 )</f>
        <v>29</v>
      </c>
      <c r="H27" s="1">
        <f>_xlfn.XLOOKUP( C27, 'FP Ranking'!$A$2:$A$544, 'FP Ranking'!$B$2:$B$544 )</f>
        <v>3</v>
      </c>
      <c r="I27" s="1" t="str">
        <f>_xlfn.XLOOKUP( C27, 'FP Ranking'!$A$2:$A$544, 'FP Ranking'!$D$2:$D$544 )</f>
        <v>BAL</v>
      </c>
      <c r="J27" s="1" t="str" cm="1">
        <f t="array" ref="J27">LEFT(_xlfn.XLOOKUP(C27, 'FP Ranking'!$A$2:$A$544, 'FP Ranking'!$E$2:$E$544), MIN(SEARCH({1,2,3,4,5,6,7,8,9,0}, _xlfn.XLOOKUP(C27, 'FP Ranking'!$A$2:$A$544, 'FP Ranking'!$E$2:$E$544)&amp;{1,2,3,4,5,6,7,8,9,0}))-1)</f>
        <v>QB</v>
      </c>
      <c r="K27" s="1">
        <f t="shared" si="1"/>
        <v>3</v>
      </c>
      <c r="L27" s="9">
        <f t="shared" si="2"/>
        <v>7.1936174163312857E-3</v>
      </c>
      <c r="M27" s="2">
        <f t="shared" si="3"/>
        <v>0.60299999999999998</v>
      </c>
    </row>
    <row r="28" spans="1:16" ht="15.75" customHeight="1" x14ac:dyDescent="0.15">
      <c r="A28" s="7"/>
      <c r="B28" s="1">
        <f t="shared" si="0"/>
        <v>3</v>
      </c>
      <c r="C28" s="1">
        <v>27</v>
      </c>
      <c r="D28" s="1" t="str">
        <f>_xlfn.XLOOKUP( C28, 'FP Ranking'!$A$2:$A$544, 'FP Ranking'!$C$2:$C$544 )</f>
        <v>Kyren Williams</v>
      </c>
      <c r="E28" s="8" t="b">
        <v>0</v>
      </c>
      <c r="F28" s="8" t="b">
        <v>0</v>
      </c>
      <c r="G28" s="1">
        <f xml:space="preserve"> _xlfn.XLOOKUP(  D28, 'ESPN Ranking'!$B$2:$B$544, 'ESPN Ranking'!$A$2:$A$544 )</f>
        <v>32</v>
      </c>
      <c r="H28" s="1">
        <f>_xlfn.XLOOKUP( C28, 'FP Ranking'!$A$2:$A$544, 'FP Ranking'!$B$2:$B$544 )</f>
        <v>3</v>
      </c>
      <c r="I28" s="1" t="str">
        <f>_xlfn.XLOOKUP( C28, 'FP Ranking'!$A$2:$A$544, 'FP Ranking'!$D$2:$D$544 )</f>
        <v>LAR</v>
      </c>
      <c r="J28" s="1" t="str" cm="1">
        <f t="array" ref="J28">LEFT(_xlfn.XLOOKUP(C28, 'FP Ranking'!$A$2:$A$544, 'FP Ranking'!$E$2:$E$544), MIN(SEARCH({1,2,3,4,5,6,7,8,9,0}, _xlfn.XLOOKUP(C28, 'FP Ranking'!$A$2:$A$544, 'FP Ranking'!$E$2:$E$544)&amp;{1,2,3,4,5,6,7,8,9,0}))-1)</f>
        <v>RB</v>
      </c>
      <c r="K28" s="1">
        <f t="shared" si="1"/>
        <v>5</v>
      </c>
      <c r="L28" s="9">
        <f t="shared" si="2"/>
        <v>1.1852073263370278E-2</v>
      </c>
      <c r="M28" s="2">
        <f t="shared" si="3"/>
        <v>0.68799999999999994</v>
      </c>
    </row>
    <row r="29" spans="1:16" ht="15.75" customHeight="1" x14ac:dyDescent="0.15">
      <c r="A29" s="7"/>
      <c r="B29" s="1">
        <f t="shared" si="0"/>
        <v>3</v>
      </c>
      <c r="C29" s="1">
        <v>28</v>
      </c>
      <c r="D29" s="1" t="str">
        <f>_xlfn.XLOOKUP( C29, 'FP Ranking'!$A$2:$A$544, 'FP Ranking'!$C$2:$C$544 )</f>
        <v>Jaxon Smith-Njigba</v>
      </c>
      <c r="E29" s="8" t="b">
        <v>0</v>
      </c>
      <c r="F29" s="8" t="b">
        <v>0</v>
      </c>
      <c r="G29" s="1">
        <f xml:space="preserve"> _xlfn.XLOOKUP(  D29, 'ESPN Ranking'!$B$2:$B$544, 'ESPN Ranking'!$A$2:$A$544 )</f>
        <v>34</v>
      </c>
      <c r="H29" s="1">
        <f>_xlfn.XLOOKUP( C29, 'FP Ranking'!$A$2:$A$544, 'FP Ranking'!$B$2:$B$544 )</f>
        <v>3</v>
      </c>
      <c r="I29" s="1" t="str">
        <f>_xlfn.XLOOKUP( C29, 'FP Ranking'!$A$2:$A$544, 'FP Ranking'!$D$2:$D$544 )</f>
        <v>SEA</v>
      </c>
      <c r="J29" s="1" t="str" cm="1">
        <f t="array" ref="J29">LEFT(_xlfn.XLOOKUP(C29, 'FP Ranking'!$A$2:$A$544, 'FP Ranking'!$E$2:$E$544), MIN(SEARCH({1,2,3,4,5,6,7,8,9,0}, _xlfn.XLOOKUP(C29, 'FP Ranking'!$A$2:$A$544, 'FP Ranking'!$E$2:$E$544)&amp;{1,2,3,4,5,6,7,8,9,0}))-1)</f>
        <v>WR</v>
      </c>
      <c r="K29" s="1">
        <f t="shared" si="1"/>
        <v>6</v>
      </c>
      <c r="L29" s="9">
        <f t="shared" si="2"/>
        <v>1.4067263835956864E-2</v>
      </c>
      <c r="M29" s="2">
        <f t="shared" si="3"/>
        <v>0.69799999999999995</v>
      </c>
    </row>
    <row r="30" spans="1:16" ht="15.75" customHeight="1" x14ac:dyDescent="0.15">
      <c r="A30" s="7"/>
      <c r="B30" s="1">
        <f t="shared" si="0"/>
        <v>3</v>
      </c>
      <c r="C30" s="1">
        <v>29</v>
      </c>
      <c r="D30" s="1" t="str">
        <f>_xlfn.XLOOKUP( C30, 'FP Ranking'!$A$2:$A$544, 'FP Ranking'!$C$2:$C$544 )</f>
        <v>Tee Higgins</v>
      </c>
      <c r="E30" s="8" t="b">
        <v>0</v>
      </c>
      <c r="F30" s="8" t="b">
        <v>0</v>
      </c>
      <c r="G30" s="1">
        <f xml:space="preserve"> _xlfn.XLOOKUP(  D30, 'ESPN Ranking'!$B$2:$B$544, 'ESPN Ranking'!$A$2:$A$544 )</f>
        <v>24</v>
      </c>
      <c r="H30" s="1">
        <f>_xlfn.XLOOKUP( C30, 'FP Ranking'!$A$2:$A$544, 'FP Ranking'!$B$2:$B$544 )</f>
        <v>3</v>
      </c>
      <c r="I30" s="1" t="str">
        <f>_xlfn.XLOOKUP( C30, 'FP Ranking'!$A$2:$A$544, 'FP Ranking'!$D$2:$D$544 )</f>
        <v>CIN</v>
      </c>
      <c r="J30" s="1" t="str" cm="1">
        <f t="array" ref="J30">LEFT(_xlfn.XLOOKUP(C30, 'FP Ranking'!$A$2:$A$544, 'FP Ranking'!$E$2:$E$544), MIN(SEARCH({1,2,3,4,5,6,7,8,9,0}, _xlfn.XLOOKUP(C30, 'FP Ranking'!$A$2:$A$544, 'FP Ranking'!$E$2:$E$544)&amp;{1,2,3,4,5,6,7,8,9,0}))-1)</f>
        <v>WR</v>
      </c>
      <c r="K30" s="1">
        <f t="shared" si="1"/>
        <v>-5</v>
      </c>
      <c r="L30" s="9">
        <f t="shared" si="2"/>
        <v>-1.1600554858334769E-2</v>
      </c>
      <c r="M30" s="2">
        <f t="shared" si="3"/>
        <v>0.24099999999999999</v>
      </c>
    </row>
    <row r="31" spans="1:16" ht="15.75" customHeight="1" x14ac:dyDescent="0.15">
      <c r="A31" s="7"/>
      <c r="B31" s="1">
        <f t="shared" si="0"/>
        <v>3</v>
      </c>
      <c r="C31" s="1">
        <v>30</v>
      </c>
      <c r="D31" s="1" t="str">
        <f>_xlfn.XLOOKUP( C31, 'FP Ranking'!$A$2:$A$544, 'FP Ranking'!$C$2:$C$544 )</f>
        <v>George Kittle</v>
      </c>
      <c r="E31" s="8" t="b">
        <v>0</v>
      </c>
      <c r="F31" s="8" t="b">
        <v>0</v>
      </c>
      <c r="G31" s="1">
        <f xml:space="preserve"> _xlfn.XLOOKUP(  D31, 'ESPN Ranking'!$B$2:$B$544, 'ESPN Ranking'!$A$2:$A$544 )</f>
        <v>40</v>
      </c>
      <c r="H31" s="1">
        <f>_xlfn.XLOOKUP( C31, 'FP Ranking'!$A$2:$A$544, 'FP Ranking'!$B$2:$B$544 )</f>
        <v>4</v>
      </c>
      <c r="I31" s="1" t="str">
        <f>_xlfn.XLOOKUP( C31, 'FP Ranking'!$A$2:$A$544, 'FP Ranking'!$D$2:$D$544 )</f>
        <v>SF</v>
      </c>
      <c r="J31" s="1" t="str" cm="1">
        <f t="array" ref="J31">LEFT(_xlfn.XLOOKUP(C31, 'FP Ranking'!$A$2:$A$544, 'FP Ranking'!$E$2:$E$544), MIN(SEARCH({1,2,3,4,5,6,7,8,9,0}, _xlfn.XLOOKUP(C31, 'FP Ranking'!$A$2:$A$544, 'FP Ranking'!$E$2:$E$544)&amp;{1,2,3,4,5,6,7,8,9,0}))-1)</f>
        <v>TE</v>
      </c>
      <c r="K31" s="1">
        <f t="shared" si="1"/>
        <v>10</v>
      </c>
      <c r="L31" s="9">
        <f t="shared" si="2"/>
        <v>2.2969851859000471E-2</v>
      </c>
      <c r="M31" s="2">
        <f t="shared" si="3"/>
        <v>0.79300000000000004</v>
      </c>
    </row>
    <row r="32" spans="1:16" ht="15.75" customHeight="1" x14ac:dyDescent="0.15">
      <c r="A32" s="7"/>
      <c r="B32" s="1">
        <f t="shared" si="0"/>
        <v>3</v>
      </c>
      <c r="C32" s="1">
        <v>31</v>
      </c>
      <c r="D32" s="1" t="str">
        <f>_xlfn.XLOOKUP( C32, 'FP Ranking'!$A$2:$A$544, 'FP Ranking'!$C$2:$C$544 )</f>
        <v>Jayden Daniels</v>
      </c>
      <c r="E32" s="8" t="b">
        <v>0</v>
      </c>
      <c r="F32" s="8" t="b">
        <v>0</v>
      </c>
      <c r="G32" s="1">
        <f xml:space="preserve"> _xlfn.XLOOKUP(  D32, 'ESPN Ranking'!$B$2:$B$544, 'ESPN Ranking'!$A$2:$A$544 )</f>
        <v>30</v>
      </c>
      <c r="H32" s="1">
        <f>_xlfn.XLOOKUP( C32, 'FP Ranking'!$A$2:$A$544, 'FP Ranking'!$B$2:$B$544 )</f>
        <v>4</v>
      </c>
      <c r="I32" s="1" t="str">
        <f>_xlfn.XLOOKUP( C32, 'FP Ranking'!$A$2:$A$544, 'FP Ranking'!$D$2:$D$544 )</f>
        <v>WAS</v>
      </c>
      <c r="J32" s="1" t="str" cm="1">
        <f t="array" ref="J32">LEFT(_xlfn.XLOOKUP(C32, 'FP Ranking'!$A$2:$A$544, 'FP Ranking'!$E$2:$E$544), MIN(SEARCH({1,2,3,4,5,6,7,8,9,0}, _xlfn.XLOOKUP(C32, 'FP Ranking'!$A$2:$A$544, 'FP Ranking'!$E$2:$E$544)&amp;{1,2,3,4,5,6,7,8,9,0}))-1)</f>
        <v>QB</v>
      </c>
      <c r="K32" s="1">
        <f t="shared" si="1"/>
        <v>-1</v>
      </c>
      <c r="L32" s="9">
        <f t="shared" si="2"/>
        <v>-2.2750521579684565E-3</v>
      </c>
      <c r="M32" s="2">
        <f t="shared" si="3"/>
        <v>0.41199999999999998</v>
      </c>
    </row>
    <row r="33" spans="1:13" ht="15.75" customHeight="1" x14ac:dyDescent="0.15">
      <c r="A33" s="7"/>
      <c r="B33" s="1">
        <f t="shared" si="0"/>
        <v>3</v>
      </c>
      <c r="C33" s="1">
        <v>32</v>
      </c>
      <c r="D33" s="1" t="str">
        <f>_xlfn.XLOOKUP( C33, 'FP Ranking'!$A$2:$A$544, 'FP Ranking'!$C$2:$C$544 )</f>
        <v>Mike Evans</v>
      </c>
      <c r="E33" s="8" t="b">
        <v>0</v>
      </c>
      <c r="F33" s="8" t="b">
        <v>0</v>
      </c>
      <c r="G33" s="1">
        <f xml:space="preserve"> _xlfn.XLOOKUP(  D33, 'ESPN Ranking'!$B$2:$B$544, 'ESPN Ranking'!$A$2:$A$544 )</f>
        <v>49</v>
      </c>
      <c r="H33" s="1">
        <f>_xlfn.XLOOKUP( C33, 'FP Ranking'!$A$2:$A$544, 'FP Ranking'!$B$2:$B$544 )</f>
        <v>4</v>
      </c>
      <c r="I33" s="1" t="str">
        <f>_xlfn.XLOOKUP( C33, 'FP Ranking'!$A$2:$A$544, 'FP Ranking'!$D$2:$D$544 )</f>
        <v>TB</v>
      </c>
      <c r="J33" s="1" t="str" cm="1">
        <f t="array" ref="J33">LEFT(_xlfn.XLOOKUP(C33, 'FP Ranking'!$A$2:$A$544, 'FP Ranking'!$E$2:$E$544), MIN(SEARCH({1,2,3,4,5,6,7,8,9,0}, _xlfn.XLOOKUP(C33, 'FP Ranking'!$A$2:$A$544, 'FP Ranking'!$E$2:$E$544)&amp;{1,2,3,4,5,6,7,8,9,0}))-1)</f>
        <v>WR</v>
      </c>
      <c r="K33" s="1">
        <f t="shared" si="1"/>
        <v>17</v>
      </c>
      <c r="L33" s="9">
        <f t="shared" si="2"/>
        <v>3.8321587023613088E-2</v>
      </c>
      <c r="M33" s="2">
        <f t="shared" si="3"/>
        <v>0.83899999999999997</v>
      </c>
    </row>
    <row r="34" spans="1:13" ht="15.75" customHeight="1" x14ac:dyDescent="0.15">
      <c r="A34" s="7"/>
      <c r="B34" s="1">
        <f t="shared" ref="B34:B65" si="4">ROUNDUP( $C34 / 12,0)</f>
        <v>3</v>
      </c>
      <c r="C34" s="1">
        <v>33</v>
      </c>
      <c r="D34" s="1" t="str">
        <f>_xlfn.XLOOKUP( C34, 'FP Ranking'!$A$2:$A$544, 'FP Ranking'!$C$2:$C$544 )</f>
        <v>James Cook</v>
      </c>
      <c r="E34" s="8" t="b">
        <v>0</v>
      </c>
      <c r="F34" s="8" t="b">
        <v>0</v>
      </c>
      <c r="G34" s="1">
        <f xml:space="preserve"> _xlfn.XLOOKUP(  D34, 'ESPN Ranking'!$B$2:$B$544, 'ESPN Ranking'!$A$2:$A$544 )</f>
        <v>33</v>
      </c>
      <c r="H34" s="1">
        <f>_xlfn.XLOOKUP( C34, 'FP Ranking'!$A$2:$A$544, 'FP Ranking'!$B$2:$B$544 )</f>
        <v>4</v>
      </c>
      <c r="I34" s="1" t="str">
        <f>_xlfn.XLOOKUP( C34, 'FP Ranking'!$A$2:$A$544, 'FP Ranking'!$D$2:$D$544 )</f>
        <v>BUF</v>
      </c>
      <c r="J34" s="1" t="str" cm="1">
        <f t="array" ref="J34">LEFT(_xlfn.XLOOKUP(C34, 'FP Ranking'!$A$2:$A$544, 'FP Ranking'!$E$2:$E$544), MIN(SEARCH({1,2,3,4,5,6,7,8,9,0}, _xlfn.XLOOKUP(C34, 'FP Ranking'!$A$2:$A$544, 'FP Ranking'!$E$2:$E$544)&amp;{1,2,3,4,5,6,7,8,9,0}))-1)</f>
        <v>RB</v>
      </c>
      <c r="K34" s="1">
        <f t="shared" ref="K34:K65" si="5">G34 - C34</f>
        <v>0</v>
      </c>
      <c r="L34" s="9">
        <f t="shared" ref="L34:L65" si="6">( K34 / -LN( 1 / ( C34^128 + 1 ) ) )</f>
        <v>0</v>
      </c>
      <c r="M34" s="2">
        <f t="shared" ref="M34:M65" si="7">PERCENTRANK( $L$2:$L$251, L34 )</f>
        <v>0.437</v>
      </c>
    </row>
    <row r="35" spans="1:13" ht="15.75" customHeight="1" x14ac:dyDescent="0.15">
      <c r="A35" s="7"/>
      <c r="B35" s="1">
        <f t="shared" si="4"/>
        <v>3</v>
      </c>
      <c r="C35" s="1">
        <v>34</v>
      </c>
      <c r="D35" s="1" t="str">
        <f>_xlfn.XLOOKUP( C35, 'FP Ranking'!$A$2:$A$544, 'FP Ranking'!$C$2:$C$544 )</f>
        <v>Tyreek Hill</v>
      </c>
      <c r="E35" s="8" t="b">
        <v>0</v>
      </c>
      <c r="F35" s="8" t="b">
        <v>0</v>
      </c>
      <c r="G35" s="1">
        <f xml:space="preserve"> _xlfn.XLOOKUP(  D35, 'ESPN Ranking'!$B$2:$B$544, 'ESPN Ranking'!$A$2:$A$544 )</f>
        <v>25</v>
      </c>
      <c r="H35" s="1">
        <f>_xlfn.XLOOKUP( C35, 'FP Ranking'!$A$2:$A$544, 'FP Ranking'!$B$2:$B$544 )</f>
        <v>4</v>
      </c>
      <c r="I35" s="1" t="str">
        <f>_xlfn.XLOOKUP( C35, 'FP Ranking'!$A$2:$A$544, 'FP Ranking'!$D$2:$D$544 )</f>
        <v>MIA</v>
      </c>
      <c r="J35" s="1" t="str" cm="1">
        <f t="array" ref="J35">LEFT(_xlfn.XLOOKUP(C35, 'FP Ranking'!$A$2:$A$544, 'FP Ranking'!$E$2:$E$544), MIN(SEARCH({1,2,3,4,5,6,7,8,9,0}, _xlfn.XLOOKUP(C35, 'FP Ranking'!$A$2:$A$544, 'FP Ranking'!$E$2:$E$544)&amp;{1,2,3,4,5,6,7,8,9,0}))-1)</f>
        <v>WR</v>
      </c>
      <c r="K35" s="1">
        <f t="shared" si="5"/>
        <v>-9</v>
      </c>
      <c r="L35" s="9">
        <f t="shared" si="6"/>
        <v>-1.9939112722359379E-2</v>
      </c>
      <c r="M35" s="2">
        <f t="shared" si="7"/>
        <v>0.155</v>
      </c>
    </row>
    <row r="36" spans="1:13" ht="15.75" customHeight="1" x14ac:dyDescent="0.15">
      <c r="A36" s="7"/>
      <c r="B36" s="1">
        <f t="shared" si="4"/>
        <v>3</v>
      </c>
      <c r="C36" s="1">
        <v>35</v>
      </c>
      <c r="D36" s="1" t="str">
        <f>_xlfn.XLOOKUP( C36, 'FP Ranking'!$A$2:$A$544, 'FP Ranking'!$C$2:$C$544 )</f>
        <v>Omarion Hampton</v>
      </c>
      <c r="E36" s="8" t="b">
        <v>0</v>
      </c>
      <c r="F36" s="8" t="b">
        <v>0</v>
      </c>
      <c r="G36" s="1">
        <f xml:space="preserve"> _xlfn.XLOOKUP(  D36, 'ESPN Ranking'!$B$2:$B$544, 'ESPN Ranking'!$A$2:$A$544 )</f>
        <v>37</v>
      </c>
      <c r="H36" s="1">
        <f>_xlfn.XLOOKUP( C36, 'FP Ranking'!$A$2:$A$544, 'FP Ranking'!$B$2:$B$544 )</f>
        <v>4</v>
      </c>
      <c r="I36" s="1" t="str">
        <f>_xlfn.XLOOKUP( C36, 'FP Ranking'!$A$2:$A$544, 'FP Ranking'!$D$2:$D$544 )</f>
        <v>LAC</v>
      </c>
      <c r="J36" s="1" t="str" cm="1">
        <f t="array" ref="J36">LEFT(_xlfn.XLOOKUP(C36, 'FP Ranking'!$A$2:$A$544, 'FP Ranking'!$E$2:$E$544), MIN(SEARCH({1,2,3,4,5,6,7,8,9,0}, _xlfn.XLOOKUP(C36, 'FP Ranking'!$A$2:$A$544, 'FP Ranking'!$E$2:$E$544)&amp;{1,2,3,4,5,6,7,8,9,0}))-1)</f>
        <v>RB</v>
      </c>
      <c r="K36" s="1">
        <f t="shared" si="5"/>
        <v>2</v>
      </c>
      <c r="L36" s="9">
        <f t="shared" si="6"/>
        <v>4.3947877197301304E-3</v>
      </c>
      <c r="M36" s="2">
        <f t="shared" si="7"/>
        <v>0.55700000000000005</v>
      </c>
    </row>
    <row r="37" spans="1:13" ht="15.75" customHeight="1" x14ac:dyDescent="0.15">
      <c r="A37" s="7"/>
      <c r="B37" s="1">
        <f t="shared" si="4"/>
        <v>3</v>
      </c>
      <c r="C37" s="1">
        <v>36</v>
      </c>
      <c r="D37" s="1" t="str">
        <f>_xlfn.XLOOKUP( C37, 'FP Ranking'!$A$2:$A$544, 'FP Ranking'!$C$2:$C$544 )</f>
        <v>Garrett Wilson</v>
      </c>
      <c r="E37" s="8" t="b">
        <v>0</v>
      </c>
      <c r="F37" s="8" t="b">
        <v>0</v>
      </c>
      <c r="G37" s="1">
        <f xml:space="preserve"> _xlfn.XLOOKUP(  D37, 'ESPN Ranking'!$B$2:$B$544, 'ESPN Ranking'!$A$2:$A$544 )</f>
        <v>36</v>
      </c>
      <c r="H37" s="1">
        <f>_xlfn.XLOOKUP( C37, 'FP Ranking'!$A$2:$A$544, 'FP Ranking'!$B$2:$B$544 )</f>
        <v>4</v>
      </c>
      <c r="I37" s="1" t="str">
        <f>_xlfn.XLOOKUP( C37, 'FP Ranking'!$A$2:$A$544, 'FP Ranking'!$D$2:$D$544 )</f>
        <v>NYJ</v>
      </c>
      <c r="J37" s="1" t="str" cm="1">
        <f t="array" ref="J37">LEFT(_xlfn.XLOOKUP(C37, 'FP Ranking'!$A$2:$A$544, 'FP Ranking'!$E$2:$E$544), MIN(SEARCH({1,2,3,4,5,6,7,8,9,0}, _xlfn.XLOOKUP(C37, 'FP Ranking'!$A$2:$A$544, 'FP Ranking'!$E$2:$E$544)&amp;{1,2,3,4,5,6,7,8,9,0}))-1)</f>
        <v>WR</v>
      </c>
      <c r="K37" s="1">
        <f t="shared" si="5"/>
        <v>0</v>
      </c>
      <c r="L37" s="9">
        <f t="shared" si="6"/>
        <v>0</v>
      </c>
      <c r="M37" s="2">
        <f t="shared" si="7"/>
        <v>0.437</v>
      </c>
    </row>
    <row r="38" spans="1:13" ht="15.75" customHeight="1" x14ac:dyDescent="0.15">
      <c r="A38" s="7"/>
      <c r="B38" s="1">
        <f t="shared" si="4"/>
        <v>4</v>
      </c>
      <c r="C38" s="1">
        <v>37</v>
      </c>
      <c r="D38" s="1" t="str">
        <f>_xlfn.XLOOKUP( C38, 'FP Ranking'!$A$2:$A$544, 'FP Ranking'!$C$2:$C$544 )</f>
        <v>Davante Adams</v>
      </c>
      <c r="E38" s="8" t="b">
        <v>0</v>
      </c>
      <c r="F38" s="8" t="b">
        <v>0</v>
      </c>
      <c r="G38" s="1">
        <f xml:space="preserve"> _xlfn.XLOOKUP(  D38, 'ESPN Ranking'!$B$2:$B$544, 'ESPN Ranking'!$A$2:$A$544 )</f>
        <v>27</v>
      </c>
      <c r="H38" s="1">
        <f>_xlfn.XLOOKUP( C38, 'FP Ranking'!$A$2:$A$544, 'FP Ranking'!$B$2:$B$544 )</f>
        <v>4</v>
      </c>
      <c r="I38" s="1" t="str">
        <f>_xlfn.XLOOKUP( C38, 'FP Ranking'!$A$2:$A$544, 'FP Ranking'!$D$2:$D$544 )</f>
        <v>LAR</v>
      </c>
      <c r="J38" s="1" t="str" cm="1">
        <f t="array" ref="J38">LEFT(_xlfn.XLOOKUP(C38, 'FP Ranking'!$A$2:$A$544, 'FP Ranking'!$E$2:$E$544), MIN(SEARCH({1,2,3,4,5,6,7,8,9,0}, _xlfn.XLOOKUP(C38, 'FP Ranking'!$A$2:$A$544, 'FP Ranking'!$E$2:$E$544)&amp;{1,2,3,4,5,6,7,8,9,0}))-1)</f>
        <v>WR</v>
      </c>
      <c r="K38" s="1">
        <f t="shared" si="5"/>
        <v>-10</v>
      </c>
      <c r="L38" s="9">
        <f t="shared" si="6"/>
        <v>-2.1635772922566982E-2</v>
      </c>
      <c r="M38" s="2">
        <f t="shared" si="7"/>
        <v>0.13500000000000001</v>
      </c>
    </row>
    <row r="39" spans="1:13" ht="15.75" customHeight="1" x14ac:dyDescent="0.15">
      <c r="A39" s="7"/>
      <c r="B39" s="1">
        <f t="shared" si="4"/>
        <v>4</v>
      </c>
      <c r="C39" s="1">
        <v>38</v>
      </c>
      <c r="D39" s="1" t="str">
        <f>_xlfn.XLOOKUP( C39, 'FP Ranking'!$A$2:$A$544, 'FP Ranking'!$C$2:$C$544 )</f>
        <v>Jalen Hurts</v>
      </c>
      <c r="E39" s="8" t="b">
        <v>0</v>
      </c>
      <c r="F39" s="8" t="b">
        <v>0</v>
      </c>
      <c r="G39" s="1">
        <f xml:space="preserve"> _xlfn.XLOOKUP(  D39, 'ESPN Ranking'!$B$2:$B$544, 'ESPN Ranking'!$A$2:$A$544 )</f>
        <v>31</v>
      </c>
      <c r="H39" s="1">
        <f>_xlfn.XLOOKUP( C39, 'FP Ranking'!$A$2:$A$544, 'FP Ranking'!$B$2:$B$544 )</f>
        <v>4</v>
      </c>
      <c r="I39" s="1" t="str">
        <f>_xlfn.XLOOKUP( C39, 'FP Ranking'!$A$2:$A$544, 'FP Ranking'!$D$2:$D$544 )</f>
        <v>PHI</v>
      </c>
      <c r="J39" s="1" t="str" cm="1">
        <f t="array" ref="J39">LEFT(_xlfn.XLOOKUP(C39, 'FP Ranking'!$A$2:$A$544, 'FP Ranking'!$E$2:$E$544), MIN(SEARCH({1,2,3,4,5,6,7,8,9,0}, _xlfn.XLOOKUP(C39, 'FP Ranking'!$A$2:$A$544, 'FP Ranking'!$E$2:$E$544)&amp;{1,2,3,4,5,6,7,8,9,0}))-1)</f>
        <v>QB</v>
      </c>
      <c r="K39" s="1">
        <f t="shared" si="5"/>
        <v>-7</v>
      </c>
      <c r="L39" s="9">
        <f t="shared" si="6"/>
        <v>-1.5034008157792617E-2</v>
      </c>
      <c r="M39" s="2">
        <f t="shared" si="7"/>
        <v>0.19</v>
      </c>
    </row>
    <row r="40" spans="1:13" ht="15.75" customHeight="1" x14ac:dyDescent="0.15">
      <c r="A40" s="7"/>
      <c r="B40" s="1">
        <f t="shared" si="4"/>
        <v>4</v>
      </c>
      <c r="C40" s="1">
        <v>39</v>
      </c>
      <c r="D40" s="1" t="str">
        <f>_xlfn.XLOOKUP( C40, 'FP Ranking'!$A$2:$A$544, 'FP Ranking'!$C$2:$C$544 )</f>
        <v>Terry McLaurin</v>
      </c>
      <c r="E40" s="8" t="b">
        <v>0</v>
      </c>
      <c r="F40" s="8" t="b">
        <v>0</v>
      </c>
      <c r="G40" s="1">
        <f xml:space="preserve"> _xlfn.XLOOKUP(  D40, 'ESPN Ranking'!$B$2:$B$544, 'ESPN Ranking'!$A$2:$A$544 )</f>
        <v>35</v>
      </c>
      <c r="H40" s="1">
        <f>_xlfn.XLOOKUP( C40, 'FP Ranking'!$A$2:$A$544, 'FP Ranking'!$B$2:$B$544 )</f>
        <v>4</v>
      </c>
      <c r="I40" s="1" t="str">
        <f>_xlfn.XLOOKUP( C40, 'FP Ranking'!$A$2:$A$544, 'FP Ranking'!$D$2:$D$544 )</f>
        <v>WAS</v>
      </c>
      <c r="J40" s="1" t="str" cm="1">
        <f t="array" ref="J40">LEFT(_xlfn.XLOOKUP(C40, 'FP Ranking'!$A$2:$A$544, 'FP Ranking'!$E$2:$E$544), MIN(SEARCH({1,2,3,4,5,6,7,8,9,0}, _xlfn.XLOOKUP(C40, 'FP Ranking'!$A$2:$A$544, 'FP Ranking'!$E$2:$E$544)&amp;{1,2,3,4,5,6,7,8,9,0}))-1)</f>
        <v>WR</v>
      </c>
      <c r="K40" s="1">
        <f t="shared" si="5"/>
        <v>-4</v>
      </c>
      <c r="L40" s="9">
        <f t="shared" si="6"/>
        <v>-8.5299506377936683E-3</v>
      </c>
      <c r="M40" s="2">
        <f t="shared" si="7"/>
        <v>0.29099999999999998</v>
      </c>
    </row>
    <row r="41" spans="1:13" ht="15.75" customHeight="1" x14ac:dyDescent="0.15">
      <c r="A41" s="7"/>
      <c r="B41" s="1">
        <f t="shared" si="4"/>
        <v>4</v>
      </c>
      <c r="C41" s="1">
        <v>40</v>
      </c>
      <c r="D41" s="1" t="str">
        <f>_xlfn.XLOOKUP( C41, 'FP Ranking'!$A$2:$A$544, 'FP Ranking'!$C$2:$C$544 )</f>
        <v>Kenneth Walker III</v>
      </c>
      <c r="E41" s="8" t="b">
        <v>0</v>
      </c>
      <c r="F41" s="8" t="b">
        <v>0</v>
      </c>
      <c r="G41" s="1">
        <f xml:space="preserve"> _xlfn.XLOOKUP(  D41, 'ESPN Ranking'!$B$2:$B$544, 'ESPN Ranking'!$A$2:$A$544 )</f>
        <v>44</v>
      </c>
      <c r="H41" s="1">
        <f>_xlfn.XLOOKUP( C41, 'FP Ranking'!$A$2:$A$544, 'FP Ranking'!$B$2:$B$544 )</f>
        <v>4</v>
      </c>
      <c r="I41" s="1" t="str">
        <f>_xlfn.XLOOKUP( C41, 'FP Ranking'!$A$2:$A$544, 'FP Ranking'!$D$2:$D$544 )</f>
        <v>SEA</v>
      </c>
      <c r="J41" s="1" t="str" cm="1">
        <f t="array" ref="J41">LEFT(_xlfn.XLOOKUP(C41, 'FP Ranking'!$A$2:$A$544, 'FP Ranking'!$E$2:$E$544), MIN(SEARCH({1,2,3,4,5,6,7,8,9,0}, _xlfn.XLOOKUP(C41, 'FP Ranking'!$A$2:$A$544, 'FP Ranking'!$E$2:$E$544)&amp;{1,2,3,4,5,6,7,8,9,0}))-1)</f>
        <v>RB</v>
      </c>
      <c r="K41" s="1">
        <f t="shared" si="5"/>
        <v>4</v>
      </c>
      <c r="L41" s="9">
        <f t="shared" si="6"/>
        <v>8.4714072088067742E-3</v>
      </c>
      <c r="M41" s="2">
        <f t="shared" si="7"/>
        <v>0.64300000000000002</v>
      </c>
    </row>
    <row r="42" spans="1:13" ht="15.75" customHeight="1" x14ac:dyDescent="0.15">
      <c r="A42" s="7"/>
      <c r="B42" s="1">
        <f t="shared" si="4"/>
        <v>4</v>
      </c>
      <c r="C42" s="1">
        <v>41</v>
      </c>
      <c r="D42" s="1" t="str">
        <f>_xlfn.XLOOKUP( C42, 'FP Ranking'!$A$2:$A$544, 'FP Ranking'!$C$2:$C$544 )</f>
        <v>Marvin Harrison Jr.</v>
      </c>
      <c r="E42" s="8" t="b">
        <v>0</v>
      </c>
      <c r="F42" s="8" t="b">
        <v>0</v>
      </c>
      <c r="G42" s="1">
        <f xml:space="preserve"> _xlfn.XLOOKUP(  D42, 'ESPN Ranking'!$B$2:$B$544, 'ESPN Ranking'!$A$2:$A$544 )</f>
        <v>45</v>
      </c>
      <c r="H42" s="1">
        <f>_xlfn.XLOOKUP( C42, 'FP Ranking'!$A$2:$A$544, 'FP Ranking'!$B$2:$B$544 )</f>
        <v>4</v>
      </c>
      <c r="I42" s="1" t="str">
        <f>_xlfn.XLOOKUP( C42, 'FP Ranking'!$A$2:$A$544, 'FP Ranking'!$D$2:$D$544 )</f>
        <v>ARI</v>
      </c>
      <c r="J42" s="1" t="str" cm="1">
        <f t="array" ref="J42">LEFT(_xlfn.XLOOKUP(C42, 'FP Ranking'!$A$2:$A$544, 'FP Ranking'!$E$2:$E$544), MIN(SEARCH({1,2,3,4,5,6,7,8,9,0}, _xlfn.XLOOKUP(C42, 'FP Ranking'!$A$2:$A$544, 'FP Ranking'!$E$2:$E$544)&amp;{1,2,3,4,5,6,7,8,9,0}))-1)</f>
        <v>WR</v>
      </c>
      <c r="K42" s="1">
        <f t="shared" si="5"/>
        <v>4</v>
      </c>
      <c r="L42" s="9">
        <f t="shared" si="6"/>
        <v>8.4150783770122195E-3</v>
      </c>
      <c r="M42" s="2">
        <f t="shared" si="7"/>
        <v>0.63800000000000001</v>
      </c>
    </row>
    <row r="43" spans="1:13" ht="15.75" customHeight="1" x14ac:dyDescent="0.15">
      <c r="A43" s="7"/>
      <c r="B43" s="1">
        <f t="shared" si="4"/>
        <v>4</v>
      </c>
      <c r="C43" s="1">
        <v>42</v>
      </c>
      <c r="D43" s="1" t="str">
        <f>_xlfn.XLOOKUP( C43, 'FP Ranking'!$A$2:$A$544, 'FP Ranking'!$C$2:$C$544 )</f>
        <v>Alvin Kamara</v>
      </c>
      <c r="E43" s="8" t="b">
        <v>0</v>
      </c>
      <c r="F43" s="8" t="b">
        <v>0</v>
      </c>
      <c r="G43" s="1">
        <f xml:space="preserve"> _xlfn.XLOOKUP(  D43, 'ESPN Ranking'!$B$2:$B$544, 'ESPN Ranking'!$A$2:$A$544 )</f>
        <v>38</v>
      </c>
      <c r="H43" s="1">
        <f>_xlfn.XLOOKUP( C43, 'FP Ranking'!$A$2:$A$544, 'FP Ranking'!$B$2:$B$544 )</f>
        <v>4</v>
      </c>
      <c r="I43" s="1" t="str">
        <f>_xlfn.XLOOKUP( C43, 'FP Ranking'!$A$2:$A$544, 'FP Ranking'!$D$2:$D$544 )</f>
        <v>NO</v>
      </c>
      <c r="J43" s="1" t="str" cm="1">
        <f t="array" ref="J43">LEFT(_xlfn.XLOOKUP(C43, 'FP Ranking'!$A$2:$A$544, 'FP Ranking'!$E$2:$E$544), MIN(SEARCH({1,2,3,4,5,6,7,8,9,0}, _xlfn.XLOOKUP(C43, 'FP Ranking'!$A$2:$A$544, 'FP Ranking'!$E$2:$E$544)&amp;{1,2,3,4,5,6,7,8,9,0}))-1)</f>
        <v>RB</v>
      </c>
      <c r="K43" s="1">
        <f t="shared" si="5"/>
        <v>-4</v>
      </c>
      <c r="L43" s="9">
        <f t="shared" si="6"/>
        <v>-8.360824575595437E-3</v>
      </c>
      <c r="M43" s="2">
        <f t="shared" si="7"/>
        <v>0.29599999999999999</v>
      </c>
    </row>
    <row r="44" spans="1:13" ht="15.75" customHeight="1" x14ac:dyDescent="0.15">
      <c r="A44" s="7"/>
      <c r="B44" s="1">
        <f t="shared" si="4"/>
        <v>4</v>
      </c>
      <c r="C44" s="1">
        <v>43</v>
      </c>
      <c r="D44" s="1" t="str">
        <f>_xlfn.XLOOKUP( C44, 'FP Ranking'!$A$2:$A$544, 'FP Ranking'!$C$2:$C$544 )</f>
        <v>Courtland Sutton</v>
      </c>
      <c r="E44" s="8" t="b">
        <v>0</v>
      </c>
      <c r="F44" s="8" t="b">
        <v>0</v>
      </c>
      <c r="G44" s="1">
        <f xml:space="preserve"> _xlfn.XLOOKUP(  D44, 'ESPN Ranking'!$B$2:$B$544, 'ESPN Ranking'!$A$2:$A$544 )</f>
        <v>54</v>
      </c>
      <c r="H44" s="1">
        <f>_xlfn.XLOOKUP( C44, 'FP Ranking'!$A$2:$A$544, 'FP Ranking'!$B$2:$B$544 )</f>
        <v>4</v>
      </c>
      <c r="I44" s="1" t="str">
        <f>_xlfn.XLOOKUP( C44, 'FP Ranking'!$A$2:$A$544, 'FP Ranking'!$D$2:$D$544 )</f>
        <v>DEN</v>
      </c>
      <c r="J44" s="1" t="str" cm="1">
        <f t="array" ref="J44">LEFT(_xlfn.XLOOKUP(C44, 'FP Ranking'!$A$2:$A$544, 'FP Ranking'!$E$2:$E$544), MIN(SEARCH({1,2,3,4,5,6,7,8,9,0}, _xlfn.XLOOKUP(C44, 'FP Ranking'!$A$2:$A$544, 'FP Ranking'!$E$2:$E$544)&amp;{1,2,3,4,5,6,7,8,9,0}))-1)</f>
        <v>WR</v>
      </c>
      <c r="K44" s="1">
        <f t="shared" si="5"/>
        <v>11</v>
      </c>
      <c r="L44" s="9">
        <f t="shared" si="6"/>
        <v>2.2848425331432595E-2</v>
      </c>
      <c r="M44" s="2">
        <f t="shared" si="7"/>
        <v>0.78800000000000003</v>
      </c>
    </row>
    <row r="45" spans="1:13" ht="15.75" customHeight="1" x14ac:dyDescent="0.15">
      <c r="A45" s="7"/>
      <c r="B45" s="1">
        <f t="shared" si="4"/>
        <v>4</v>
      </c>
      <c r="C45" s="1">
        <v>44</v>
      </c>
      <c r="D45" s="1" t="str">
        <f>_xlfn.XLOOKUP( C45, 'FP Ranking'!$A$2:$A$544, 'FP Ranking'!$C$2:$C$544 )</f>
        <v>TreVeyon Henderson</v>
      </c>
      <c r="E45" s="8" t="b">
        <v>0</v>
      </c>
      <c r="F45" s="8" t="b">
        <v>0</v>
      </c>
      <c r="G45" s="1">
        <f xml:space="preserve"> _xlfn.XLOOKUP(  D45, 'ESPN Ranking'!$B$2:$B$544, 'ESPN Ranking'!$A$2:$A$544 )</f>
        <v>43</v>
      </c>
      <c r="H45" s="1">
        <f>_xlfn.XLOOKUP( C45, 'FP Ranking'!$A$2:$A$544, 'FP Ranking'!$B$2:$B$544 )</f>
        <v>4</v>
      </c>
      <c r="I45" s="1" t="str">
        <f>_xlfn.XLOOKUP( C45, 'FP Ranking'!$A$2:$A$544, 'FP Ranking'!$D$2:$D$544 )</f>
        <v>NE</v>
      </c>
      <c r="J45" s="1" t="str" cm="1">
        <f t="array" ref="J45">LEFT(_xlfn.XLOOKUP(C45, 'FP Ranking'!$A$2:$A$544, 'FP Ranking'!$E$2:$E$544), MIN(SEARCH({1,2,3,4,5,6,7,8,9,0}, _xlfn.XLOOKUP(C45, 'FP Ranking'!$A$2:$A$544, 'FP Ranking'!$E$2:$E$544)&amp;{1,2,3,4,5,6,7,8,9,0}))-1)</f>
        <v>RB</v>
      </c>
      <c r="K45" s="1">
        <f t="shared" si="5"/>
        <v>-1</v>
      </c>
      <c r="L45" s="9">
        <f t="shared" si="6"/>
        <v>-2.06451070262848E-3</v>
      </c>
      <c r="M45" s="2">
        <f t="shared" si="7"/>
        <v>0.41699999999999998</v>
      </c>
    </row>
    <row r="46" spans="1:13" ht="15.75" customHeight="1" x14ac:dyDescent="0.15">
      <c r="A46" s="7"/>
      <c r="B46" s="1">
        <f t="shared" si="4"/>
        <v>4</v>
      </c>
      <c r="C46" s="1">
        <v>45</v>
      </c>
      <c r="D46" s="1" t="str">
        <f>_xlfn.XLOOKUP( C46, 'FP Ranking'!$A$2:$A$544, 'FP Ranking'!$C$2:$C$544 )</f>
        <v>DK Metcalf</v>
      </c>
      <c r="E46" s="8" t="b">
        <v>0</v>
      </c>
      <c r="F46" s="8" t="b">
        <v>0</v>
      </c>
      <c r="G46" s="1">
        <f xml:space="preserve"> _xlfn.XLOOKUP(  D46, 'ESPN Ranking'!$B$2:$B$544, 'ESPN Ranking'!$A$2:$A$544 )</f>
        <v>46</v>
      </c>
      <c r="H46" s="1">
        <f>_xlfn.XLOOKUP( C46, 'FP Ranking'!$A$2:$A$544, 'FP Ranking'!$B$2:$B$544 )</f>
        <v>4</v>
      </c>
      <c r="I46" s="1" t="str">
        <f>_xlfn.XLOOKUP( C46, 'FP Ranking'!$A$2:$A$544, 'FP Ranking'!$D$2:$D$544 )</f>
        <v>PIT</v>
      </c>
      <c r="J46" s="1" t="str" cm="1">
        <f t="array" ref="J46">LEFT(_xlfn.XLOOKUP(C46, 'FP Ranking'!$A$2:$A$544, 'FP Ranking'!$E$2:$E$544), MIN(SEARCH({1,2,3,4,5,6,7,8,9,0}, _xlfn.XLOOKUP(C46, 'FP Ranking'!$A$2:$A$544, 'FP Ranking'!$E$2:$E$544)&amp;{1,2,3,4,5,6,7,8,9,0}))-1)</f>
        <v>WR</v>
      </c>
      <c r="K46" s="1">
        <f t="shared" si="5"/>
        <v>1</v>
      </c>
      <c r="L46" s="9">
        <f t="shared" si="6"/>
        <v>2.0523227422958052E-3</v>
      </c>
      <c r="M46" s="2">
        <f t="shared" si="7"/>
        <v>0.52200000000000002</v>
      </c>
    </row>
    <row r="47" spans="1:13" ht="15.75" customHeight="1" x14ac:dyDescent="0.15">
      <c r="A47" s="7"/>
      <c r="B47" s="1">
        <f t="shared" si="4"/>
        <v>4</v>
      </c>
      <c r="C47" s="1">
        <v>46</v>
      </c>
      <c r="D47" s="1" t="str">
        <f>_xlfn.XLOOKUP( C47, 'FP Ranking'!$A$2:$A$544, 'FP Ranking'!$C$2:$C$544 )</f>
        <v>Breece Hall</v>
      </c>
      <c r="E47" s="8" t="b">
        <v>0</v>
      </c>
      <c r="F47" s="8" t="b">
        <v>0</v>
      </c>
      <c r="G47" s="1">
        <f xml:space="preserve"> _xlfn.XLOOKUP(  D47, 'ESPN Ranking'!$B$2:$B$544, 'ESPN Ranking'!$A$2:$A$544 )</f>
        <v>51</v>
      </c>
      <c r="H47" s="1">
        <f>_xlfn.XLOOKUP( C47, 'FP Ranking'!$A$2:$A$544, 'FP Ranking'!$B$2:$B$544 )</f>
        <v>4</v>
      </c>
      <c r="I47" s="1" t="str">
        <f>_xlfn.XLOOKUP( C47, 'FP Ranking'!$A$2:$A$544, 'FP Ranking'!$D$2:$D$544 )</f>
        <v>NYJ</v>
      </c>
      <c r="J47" s="1" t="str" cm="1">
        <f t="array" ref="J47">LEFT(_xlfn.XLOOKUP(C47, 'FP Ranking'!$A$2:$A$544, 'FP Ranking'!$E$2:$E$544), MIN(SEARCH({1,2,3,4,5,6,7,8,9,0}, _xlfn.XLOOKUP(C47, 'FP Ranking'!$A$2:$A$544, 'FP Ranking'!$E$2:$E$544)&amp;{1,2,3,4,5,6,7,8,9,0}))-1)</f>
        <v>RB</v>
      </c>
      <c r="K47" s="1">
        <f t="shared" si="5"/>
        <v>5</v>
      </c>
      <c r="L47" s="9">
        <f t="shared" si="6"/>
        <v>1.020270533454001E-2</v>
      </c>
      <c r="M47" s="2">
        <f t="shared" si="7"/>
        <v>0.66800000000000004</v>
      </c>
    </row>
    <row r="48" spans="1:13" ht="15.75" customHeight="1" x14ac:dyDescent="0.15">
      <c r="A48" s="7"/>
      <c r="B48" s="1">
        <f t="shared" si="4"/>
        <v>4</v>
      </c>
      <c r="C48" s="1">
        <v>47</v>
      </c>
      <c r="D48" s="1" t="str">
        <f>_xlfn.XLOOKUP( C48, 'FP Ranking'!$A$2:$A$544, 'FP Ranking'!$C$2:$C$544 )</f>
        <v>Chuba Hubbard</v>
      </c>
      <c r="E48" s="8" t="b">
        <v>0</v>
      </c>
      <c r="F48" s="8" t="b">
        <v>0</v>
      </c>
      <c r="G48" s="1">
        <f xml:space="preserve"> _xlfn.XLOOKUP(  D48, 'ESPN Ranking'!$B$2:$B$544, 'ESPN Ranking'!$A$2:$A$544 )</f>
        <v>41</v>
      </c>
      <c r="H48" s="1">
        <f>_xlfn.XLOOKUP( C48, 'FP Ranking'!$A$2:$A$544, 'FP Ranking'!$B$2:$B$544 )</f>
        <v>4</v>
      </c>
      <c r="I48" s="1" t="str">
        <f>_xlfn.XLOOKUP( C48, 'FP Ranking'!$A$2:$A$544, 'FP Ranking'!$D$2:$D$544 )</f>
        <v>CAR</v>
      </c>
      <c r="J48" s="1" t="str" cm="1">
        <f t="array" ref="J48">LEFT(_xlfn.XLOOKUP(C48, 'FP Ranking'!$A$2:$A$544, 'FP Ranking'!$E$2:$E$544), MIN(SEARCH({1,2,3,4,5,6,7,8,9,0}, _xlfn.XLOOKUP(C48, 'FP Ranking'!$A$2:$A$544, 'FP Ranking'!$E$2:$E$544)&amp;{1,2,3,4,5,6,7,8,9,0}))-1)</f>
        <v>RB</v>
      </c>
      <c r="K48" s="1">
        <f t="shared" si="5"/>
        <v>-6</v>
      </c>
      <c r="L48" s="9">
        <f t="shared" si="6"/>
        <v>-1.2174857914325227E-2</v>
      </c>
      <c r="M48" s="2">
        <f t="shared" si="7"/>
        <v>0.23100000000000001</v>
      </c>
    </row>
    <row r="49" spans="1:13" ht="15.75" customHeight="1" x14ac:dyDescent="0.15">
      <c r="A49" s="7"/>
      <c r="B49" s="1">
        <f t="shared" si="4"/>
        <v>4</v>
      </c>
      <c r="C49" s="1">
        <v>48</v>
      </c>
      <c r="D49" s="1" t="str">
        <f>_xlfn.XLOOKUP( C49, 'FP Ranking'!$A$2:$A$544, 'FP Ranking'!$C$2:$C$544 )</f>
        <v>Joe Burrow</v>
      </c>
      <c r="E49" s="8" t="b">
        <v>0</v>
      </c>
      <c r="F49" s="8" t="b">
        <v>0</v>
      </c>
      <c r="G49" s="1">
        <f xml:space="preserve"> _xlfn.XLOOKUP(  D49, 'ESPN Ranking'!$B$2:$B$544, 'ESPN Ranking'!$A$2:$A$544 )</f>
        <v>39</v>
      </c>
      <c r="H49" s="1">
        <f>_xlfn.XLOOKUP( C49, 'FP Ranking'!$A$2:$A$544, 'FP Ranking'!$B$2:$B$544 )</f>
        <v>4</v>
      </c>
      <c r="I49" s="1" t="str">
        <f>_xlfn.XLOOKUP( C49, 'FP Ranking'!$A$2:$A$544, 'FP Ranking'!$D$2:$D$544 )</f>
        <v>CIN</v>
      </c>
      <c r="J49" s="1" t="str" cm="1">
        <f t="array" ref="J49">LEFT(_xlfn.XLOOKUP(C49, 'FP Ranking'!$A$2:$A$544, 'FP Ranking'!$E$2:$E$544), MIN(SEARCH({1,2,3,4,5,6,7,8,9,0}, _xlfn.XLOOKUP(C49, 'FP Ranking'!$A$2:$A$544, 'FP Ranking'!$E$2:$E$544)&amp;{1,2,3,4,5,6,7,8,9,0}))-1)</f>
        <v>QB</v>
      </c>
      <c r="K49" s="1">
        <f t="shared" si="5"/>
        <v>-9</v>
      </c>
      <c r="L49" s="9">
        <f t="shared" si="6"/>
        <v>-1.8162967978640303E-2</v>
      </c>
      <c r="M49" s="2">
        <f t="shared" si="7"/>
        <v>0.17499999999999999</v>
      </c>
    </row>
    <row r="50" spans="1:13" ht="15.75" customHeight="1" x14ac:dyDescent="0.15">
      <c r="A50" s="7"/>
      <c r="B50" s="1">
        <f t="shared" si="4"/>
        <v>5</v>
      </c>
      <c r="C50" s="1">
        <v>49</v>
      </c>
      <c r="D50" s="1" t="str">
        <f>_xlfn.XLOOKUP( C50, 'FP Ranking'!$A$2:$A$544, 'FP Ranking'!$C$2:$C$544 )</f>
        <v>James Conner</v>
      </c>
      <c r="E50" s="8" t="b">
        <v>0</v>
      </c>
      <c r="F50" s="8" t="b">
        <v>0</v>
      </c>
      <c r="G50" s="1">
        <f xml:space="preserve"> _xlfn.XLOOKUP(  D50, 'ESPN Ranking'!$B$2:$B$544, 'ESPN Ranking'!$A$2:$A$544 )</f>
        <v>42</v>
      </c>
      <c r="H50" s="1">
        <f>_xlfn.XLOOKUP( C50, 'FP Ranking'!$A$2:$A$544, 'FP Ranking'!$B$2:$B$544 )</f>
        <v>5</v>
      </c>
      <c r="I50" s="1" t="str">
        <f>_xlfn.XLOOKUP( C50, 'FP Ranking'!$A$2:$A$544, 'FP Ranking'!$D$2:$D$544 )</f>
        <v>ARI</v>
      </c>
      <c r="J50" s="1" t="str" cm="1">
        <f t="array" ref="J50">LEFT(_xlfn.XLOOKUP(C50, 'FP Ranking'!$A$2:$A$544, 'FP Ranking'!$E$2:$E$544), MIN(SEARCH({1,2,3,4,5,6,7,8,9,0}, _xlfn.XLOOKUP(C50, 'FP Ranking'!$A$2:$A$544, 'FP Ranking'!$E$2:$E$544)&amp;{1,2,3,4,5,6,7,8,9,0}))-1)</f>
        <v>RB</v>
      </c>
      <c r="K50" s="1">
        <f t="shared" si="5"/>
        <v>-7</v>
      </c>
      <c r="L50" s="9">
        <f t="shared" si="6"/>
        <v>-1.4051907799172871E-2</v>
      </c>
      <c r="M50" s="2">
        <f t="shared" si="7"/>
        <v>0.20100000000000001</v>
      </c>
    </row>
    <row r="51" spans="1:13" ht="15.75" customHeight="1" x14ac:dyDescent="0.15">
      <c r="A51" s="7"/>
      <c r="B51" s="1">
        <f t="shared" si="4"/>
        <v>5</v>
      </c>
      <c r="C51" s="1">
        <v>50</v>
      </c>
      <c r="D51" s="1" t="str">
        <f>_xlfn.XLOOKUP( C51, 'FP Ranking'!$A$2:$A$544, 'FP Ranking'!$C$2:$C$544 )</f>
        <v>Tetairoa McMillan</v>
      </c>
      <c r="E51" s="8" t="b">
        <v>0</v>
      </c>
      <c r="F51" s="8" t="b">
        <v>0</v>
      </c>
      <c r="G51" s="1">
        <f xml:space="preserve"> _xlfn.XLOOKUP(  D51, 'ESPN Ranking'!$B$2:$B$544, 'ESPN Ranking'!$A$2:$A$544 )</f>
        <v>47</v>
      </c>
      <c r="H51" s="1">
        <f>_xlfn.XLOOKUP( C51, 'FP Ranking'!$A$2:$A$544, 'FP Ranking'!$B$2:$B$544 )</f>
        <v>5</v>
      </c>
      <c r="I51" s="1" t="str">
        <f>_xlfn.XLOOKUP( C51, 'FP Ranking'!$A$2:$A$544, 'FP Ranking'!$D$2:$D$544 )</f>
        <v>CAR</v>
      </c>
      <c r="J51" s="1" t="str" cm="1">
        <f t="array" ref="J51">LEFT(_xlfn.XLOOKUP(C51, 'FP Ranking'!$A$2:$A$544, 'FP Ranking'!$E$2:$E$544), MIN(SEARCH({1,2,3,4,5,6,7,8,9,0}, _xlfn.XLOOKUP(C51, 'FP Ranking'!$A$2:$A$544, 'FP Ranking'!$E$2:$E$544)&amp;{1,2,3,4,5,6,7,8,9,0}))-1)</f>
        <v>WR</v>
      </c>
      <c r="K51" s="1">
        <f t="shared" si="5"/>
        <v>-3</v>
      </c>
      <c r="L51" s="9">
        <f t="shared" si="6"/>
        <v>-5.9911457492655808E-3</v>
      </c>
      <c r="M51" s="2">
        <f t="shared" si="7"/>
        <v>0.33600000000000002</v>
      </c>
    </row>
    <row r="52" spans="1:13" ht="15.75" customHeight="1" x14ac:dyDescent="0.15">
      <c r="A52" s="7"/>
      <c r="B52" s="1">
        <f t="shared" si="4"/>
        <v>5</v>
      </c>
      <c r="C52" s="1">
        <v>51</v>
      </c>
      <c r="D52" s="1" t="str">
        <f>_xlfn.XLOOKUP( C52, 'FP Ranking'!$A$2:$A$544, 'FP Ranking'!$C$2:$C$544 )</f>
        <v>DJ Moore</v>
      </c>
      <c r="E52" s="8" t="b">
        <v>0</v>
      </c>
      <c r="F52" s="8" t="b">
        <v>0</v>
      </c>
      <c r="G52" s="1">
        <f xml:space="preserve"> _xlfn.XLOOKUP(  D52, 'ESPN Ranking'!$B$2:$B$544, 'ESPN Ranking'!$A$2:$A$544 )</f>
        <v>50</v>
      </c>
      <c r="H52" s="1">
        <f>_xlfn.XLOOKUP( C52, 'FP Ranking'!$A$2:$A$544, 'FP Ranking'!$B$2:$B$544 )</f>
        <v>5</v>
      </c>
      <c r="I52" s="1" t="str">
        <f>_xlfn.XLOOKUP( C52, 'FP Ranking'!$A$2:$A$544, 'FP Ranking'!$D$2:$D$544 )</f>
        <v>CHI</v>
      </c>
      <c r="J52" s="1" t="str" cm="1">
        <f t="array" ref="J52">LEFT(_xlfn.XLOOKUP(C52, 'FP Ranking'!$A$2:$A$544, 'FP Ranking'!$E$2:$E$544), MIN(SEARCH({1,2,3,4,5,6,7,8,9,0}, _xlfn.XLOOKUP(C52, 'FP Ranking'!$A$2:$A$544, 'FP Ranking'!$E$2:$E$544)&amp;{1,2,3,4,5,6,7,8,9,0}))-1)</f>
        <v>WR</v>
      </c>
      <c r="K52" s="1">
        <f t="shared" si="5"/>
        <v>-1</v>
      </c>
      <c r="L52" s="9">
        <f t="shared" si="6"/>
        <v>-1.9869904542503302E-3</v>
      </c>
      <c r="M52" s="2">
        <f t="shared" si="7"/>
        <v>0.42199999999999999</v>
      </c>
    </row>
    <row r="53" spans="1:13" ht="15.75" customHeight="1" x14ac:dyDescent="0.15">
      <c r="A53" s="7"/>
      <c r="B53" s="1">
        <f t="shared" si="4"/>
        <v>5</v>
      </c>
      <c r="C53" s="1">
        <v>52</v>
      </c>
      <c r="D53" s="1" t="str">
        <f>_xlfn.XLOOKUP( C53, 'FP Ranking'!$A$2:$A$544, 'FP Ranking'!$C$2:$C$544 )</f>
        <v>DeVonta Smith</v>
      </c>
      <c r="E53" s="8" t="b">
        <v>0</v>
      </c>
      <c r="F53" s="8" t="b">
        <v>0</v>
      </c>
      <c r="G53" s="1">
        <f xml:space="preserve"> _xlfn.XLOOKUP(  D53, 'ESPN Ranking'!$B$2:$B$544, 'ESPN Ranking'!$A$2:$A$544 )</f>
        <v>56</v>
      </c>
      <c r="H53" s="1">
        <f>_xlfn.XLOOKUP( C53, 'FP Ranking'!$A$2:$A$544, 'FP Ranking'!$B$2:$B$544 )</f>
        <v>5</v>
      </c>
      <c r="I53" s="1" t="str">
        <f>_xlfn.XLOOKUP( C53, 'FP Ranking'!$A$2:$A$544, 'FP Ranking'!$D$2:$D$544 )</f>
        <v>PHI</v>
      </c>
      <c r="J53" s="1" t="str" cm="1">
        <f t="array" ref="J53">LEFT(_xlfn.XLOOKUP(C53, 'FP Ranking'!$A$2:$A$544, 'FP Ranking'!$E$2:$E$544), MIN(SEARCH({1,2,3,4,5,6,7,8,9,0}, _xlfn.XLOOKUP(C53, 'FP Ranking'!$A$2:$A$544, 'FP Ranking'!$E$2:$E$544)&amp;{1,2,3,4,5,6,7,8,9,0}))-1)</f>
        <v>WR</v>
      </c>
      <c r="K53" s="1">
        <f t="shared" si="5"/>
        <v>4</v>
      </c>
      <c r="L53" s="9">
        <f t="shared" si="6"/>
        <v>7.9089021649161526E-3</v>
      </c>
      <c r="M53" s="2">
        <f t="shared" si="7"/>
        <v>0.628</v>
      </c>
    </row>
    <row r="54" spans="1:13" ht="15.75" customHeight="1" x14ac:dyDescent="0.15">
      <c r="A54" s="7"/>
      <c r="B54" s="1">
        <f t="shared" si="4"/>
        <v>5</v>
      </c>
      <c r="C54" s="1">
        <v>53</v>
      </c>
      <c r="D54" s="1" t="str">
        <f>_xlfn.XLOOKUP( C54, 'FP Ranking'!$A$2:$A$544, 'FP Ranking'!$C$2:$C$544 )</f>
        <v>Jameson Williams</v>
      </c>
      <c r="E54" s="8" t="b">
        <v>0</v>
      </c>
      <c r="F54" s="8" t="b">
        <v>0</v>
      </c>
      <c r="G54" s="1">
        <f xml:space="preserve"> _xlfn.XLOOKUP(  D54, 'ESPN Ranking'!$B$2:$B$544, 'ESPN Ranking'!$A$2:$A$544 )</f>
        <v>59</v>
      </c>
      <c r="H54" s="1">
        <f>_xlfn.XLOOKUP( C54, 'FP Ranking'!$A$2:$A$544, 'FP Ranking'!$B$2:$B$544 )</f>
        <v>5</v>
      </c>
      <c r="I54" s="1" t="str">
        <f>_xlfn.XLOOKUP( C54, 'FP Ranking'!$A$2:$A$544, 'FP Ranking'!$D$2:$D$544 )</f>
        <v>DET</v>
      </c>
      <c r="J54" s="1" t="str" cm="1">
        <f t="array" ref="J54">LEFT(_xlfn.XLOOKUP(C54, 'FP Ranking'!$A$2:$A$544, 'FP Ranking'!$E$2:$E$544), MIN(SEARCH({1,2,3,4,5,6,7,8,9,0}, _xlfn.XLOOKUP(C54, 'FP Ranking'!$A$2:$A$544, 'FP Ranking'!$E$2:$E$544)&amp;{1,2,3,4,5,6,7,8,9,0}))-1)</f>
        <v>WR</v>
      </c>
      <c r="K54" s="1">
        <f t="shared" si="5"/>
        <v>6</v>
      </c>
      <c r="L54" s="9">
        <f t="shared" si="6"/>
        <v>1.1806436660235922E-2</v>
      </c>
      <c r="M54" s="2">
        <f t="shared" si="7"/>
        <v>0.68300000000000005</v>
      </c>
    </row>
    <row r="55" spans="1:13" ht="15.75" customHeight="1" x14ac:dyDescent="0.15">
      <c r="A55" s="7"/>
      <c r="B55" s="1">
        <f t="shared" si="4"/>
        <v>5</v>
      </c>
      <c r="C55" s="1">
        <v>54</v>
      </c>
      <c r="D55" s="1" t="str">
        <f>_xlfn.XLOOKUP( C55, 'FP Ranking'!$A$2:$A$544, 'FP Ranking'!$C$2:$C$544 )</f>
        <v>Xavier Worthy</v>
      </c>
      <c r="E55" s="8" t="b">
        <v>0</v>
      </c>
      <c r="F55" s="8" t="b">
        <v>0</v>
      </c>
      <c r="G55" s="1">
        <f xml:space="preserve"> _xlfn.XLOOKUP(  D55, 'ESPN Ranking'!$B$2:$B$544, 'ESPN Ranking'!$A$2:$A$544 )</f>
        <v>48</v>
      </c>
      <c r="H55" s="1">
        <f>_xlfn.XLOOKUP( C55, 'FP Ranking'!$A$2:$A$544, 'FP Ranking'!$B$2:$B$544 )</f>
        <v>5</v>
      </c>
      <c r="I55" s="1" t="str">
        <f>_xlfn.XLOOKUP( C55, 'FP Ranking'!$A$2:$A$544, 'FP Ranking'!$D$2:$D$544 )</f>
        <v>KC</v>
      </c>
      <c r="J55" s="1" t="str" cm="1">
        <f t="array" ref="J55">LEFT(_xlfn.XLOOKUP(C55, 'FP Ranking'!$A$2:$A$544, 'FP Ranking'!$E$2:$E$544), MIN(SEARCH({1,2,3,4,5,6,7,8,9,0}, _xlfn.XLOOKUP(C55, 'FP Ranking'!$A$2:$A$544, 'FP Ranking'!$E$2:$E$544)&amp;{1,2,3,4,5,6,7,8,9,0}))-1)</f>
        <v>WR</v>
      </c>
      <c r="K55" s="1">
        <f t="shared" si="5"/>
        <v>-6</v>
      </c>
      <c r="L55" s="9">
        <f t="shared" si="6"/>
        <v>-1.1751112426827979E-2</v>
      </c>
      <c r="M55" s="2">
        <f t="shared" si="7"/>
        <v>0.23599999999999999</v>
      </c>
    </row>
    <row r="56" spans="1:13" ht="13" x14ac:dyDescent="0.15">
      <c r="A56" s="7"/>
      <c r="B56" s="1">
        <f t="shared" si="4"/>
        <v>5</v>
      </c>
      <c r="C56" s="1">
        <v>55</v>
      </c>
      <c r="D56" s="1" t="str">
        <f>_xlfn.XLOOKUP( C56, 'FP Ranking'!$A$2:$A$544, 'FP Ranking'!$C$2:$C$544 )</f>
        <v>Calvin Ridley</v>
      </c>
      <c r="E56" s="8" t="b">
        <v>0</v>
      </c>
      <c r="F56" s="8" t="b">
        <v>0</v>
      </c>
      <c r="G56" s="1">
        <f xml:space="preserve"> _xlfn.XLOOKUP(  D56, 'ESPN Ranking'!$B$2:$B$544, 'ESPN Ranking'!$A$2:$A$544 )</f>
        <v>55</v>
      </c>
      <c r="H56" s="1">
        <f>_xlfn.XLOOKUP( C56, 'FP Ranking'!$A$2:$A$544, 'FP Ranking'!$B$2:$B$544 )</f>
        <v>5</v>
      </c>
      <c r="I56" s="1" t="str">
        <f>_xlfn.XLOOKUP( C56, 'FP Ranking'!$A$2:$A$544, 'FP Ranking'!$D$2:$D$544 )</f>
        <v>TEN</v>
      </c>
      <c r="J56" s="1" t="str" cm="1">
        <f t="array" ref="J56">LEFT(_xlfn.XLOOKUP(C56, 'FP Ranking'!$A$2:$A$544, 'FP Ranking'!$E$2:$E$544), MIN(SEARCH({1,2,3,4,5,6,7,8,9,0}, _xlfn.XLOOKUP(C56, 'FP Ranking'!$A$2:$A$544, 'FP Ranking'!$E$2:$E$544)&amp;{1,2,3,4,5,6,7,8,9,0}))-1)</f>
        <v>WR</v>
      </c>
      <c r="K56" s="1">
        <f t="shared" si="5"/>
        <v>0</v>
      </c>
      <c r="L56" s="9">
        <f t="shared" si="6"/>
        <v>0</v>
      </c>
      <c r="M56" s="2">
        <f t="shared" si="7"/>
        <v>0.437</v>
      </c>
    </row>
    <row r="57" spans="1:13" ht="13" x14ac:dyDescent="0.15">
      <c r="A57" s="7"/>
      <c r="B57" s="1">
        <f t="shared" si="4"/>
        <v>5</v>
      </c>
      <c r="C57" s="1">
        <v>56</v>
      </c>
      <c r="D57" s="1" t="str">
        <f>_xlfn.XLOOKUP( C57, 'FP Ranking'!$A$2:$A$544, 'FP Ranking'!$C$2:$C$544 )</f>
        <v>George Pickens</v>
      </c>
      <c r="E57" s="8" t="b">
        <v>0</v>
      </c>
      <c r="F57" s="8" t="b">
        <v>0</v>
      </c>
      <c r="G57" s="1">
        <f xml:space="preserve"> _xlfn.XLOOKUP(  D57, 'ESPN Ranking'!$B$2:$B$544, 'ESPN Ranking'!$A$2:$A$544 )</f>
        <v>64</v>
      </c>
      <c r="H57" s="1">
        <f>_xlfn.XLOOKUP( C57, 'FP Ranking'!$A$2:$A$544, 'FP Ranking'!$B$2:$B$544 )</f>
        <v>5</v>
      </c>
      <c r="I57" s="1" t="str">
        <f>_xlfn.XLOOKUP( C57, 'FP Ranking'!$A$2:$A$544, 'FP Ranking'!$D$2:$D$544 )</f>
        <v>DAL</v>
      </c>
      <c r="J57" s="1" t="str" cm="1">
        <f t="array" ref="J57">LEFT(_xlfn.XLOOKUP(C57, 'FP Ranking'!$A$2:$A$544, 'FP Ranking'!$E$2:$E$544), MIN(SEARCH({1,2,3,4,5,6,7,8,9,0}, _xlfn.XLOOKUP(C57, 'FP Ranking'!$A$2:$A$544, 'FP Ranking'!$E$2:$E$544)&amp;{1,2,3,4,5,6,7,8,9,0}))-1)</f>
        <v>WR</v>
      </c>
      <c r="K57" s="1">
        <f t="shared" si="5"/>
        <v>8</v>
      </c>
      <c r="L57" s="9">
        <f t="shared" si="6"/>
        <v>1.5526593649904321E-2</v>
      </c>
      <c r="M57" s="2">
        <f t="shared" si="7"/>
        <v>0.72299999999999998</v>
      </c>
    </row>
    <row r="58" spans="1:13" ht="13" x14ac:dyDescent="0.15">
      <c r="A58" s="7"/>
      <c r="B58" s="1">
        <f t="shared" si="4"/>
        <v>5</v>
      </c>
      <c r="C58" s="1">
        <v>57</v>
      </c>
      <c r="D58" s="1" t="str">
        <f>_xlfn.XLOOKUP( C58, 'FP Ranking'!$A$2:$A$544, 'FP Ranking'!$C$2:$C$544 )</f>
        <v>Tony Pollard</v>
      </c>
      <c r="E58" s="8" t="b">
        <v>0</v>
      </c>
      <c r="F58" s="8" t="b">
        <v>0</v>
      </c>
      <c r="G58" s="1">
        <f xml:space="preserve"> _xlfn.XLOOKUP(  D58, 'ESPN Ranking'!$B$2:$B$544, 'ESPN Ranking'!$A$2:$A$544 )</f>
        <v>67</v>
      </c>
      <c r="H58" s="1">
        <f>_xlfn.XLOOKUP( C58, 'FP Ranking'!$A$2:$A$544, 'FP Ranking'!$B$2:$B$544 )</f>
        <v>5</v>
      </c>
      <c r="I58" s="1" t="str">
        <f>_xlfn.XLOOKUP( C58, 'FP Ranking'!$A$2:$A$544, 'FP Ranking'!$D$2:$D$544 )</f>
        <v>TEN</v>
      </c>
      <c r="J58" s="1" t="str" cm="1">
        <f t="array" ref="J58">LEFT(_xlfn.XLOOKUP(C58, 'FP Ranking'!$A$2:$A$544, 'FP Ranking'!$E$2:$E$544), MIN(SEARCH({1,2,3,4,5,6,7,8,9,0}, _xlfn.XLOOKUP(C58, 'FP Ranking'!$A$2:$A$544, 'FP Ranking'!$E$2:$E$544)&amp;{1,2,3,4,5,6,7,8,9,0}))-1)</f>
        <v>RB</v>
      </c>
      <c r="K58" s="1">
        <f t="shared" si="5"/>
        <v>10</v>
      </c>
      <c r="L58" s="9">
        <f t="shared" si="6"/>
        <v>1.9323277105472766E-2</v>
      </c>
      <c r="M58" s="2">
        <f t="shared" si="7"/>
        <v>0.76300000000000001</v>
      </c>
    </row>
    <row r="59" spans="1:13" ht="13" x14ac:dyDescent="0.15">
      <c r="A59" s="7"/>
      <c r="B59" s="1">
        <f t="shared" si="4"/>
        <v>5</v>
      </c>
      <c r="C59" s="1">
        <v>58</v>
      </c>
      <c r="D59" s="1" t="str">
        <f>_xlfn.XLOOKUP( C59, 'FP Ranking'!$A$2:$A$544, 'FP Ranking'!$C$2:$C$544 )</f>
        <v>D'Andre Swift</v>
      </c>
      <c r="E59" s="8" t="b">
        <v>0</v>
      </c>
      <c r="F59" s="8" t="b">
        <v>0</v>
      </c>
      <c r="G59" s="1">
        <f xml:space="preserve"> _xlfn.XLOOKUP(  D59, 'ESPN Ranking'!$B$2:$B$544, 'ESPN Ranking'!$A$2:$A$544 )</f>
        <v>52</v>
      </c>
      <c r="H59" s="1">
        <f>_xlfn.XLOOKUP( C59, 'FP Ranking'!$A$2:$A$544, 'FP Ranking'!$B$2:$B$544 )</f>
        <v>5</v>
      </c>
      <c r="I59" s="1" t="str">
        <f>_xlfn.XLOOKUP( C59, 'FP Ranking'!$A$2:$A$544, 'FP Ranking'!$D$2:$D$544 )</f>
        <v>CHI</v>
      </c>
      <c r="J59" s="1" t="str" cm="1">
        <f t="array" ref="J59">LEFT(_xlfn.XLOOKUP(C59, 'FP Ranking'!$A$2:$A$544, 'FP Ranking'!$E$2:$E$544), MIN(SEARCH({1,2,3,4,5,6,7,8,9,0}, _xlfn.XLOOKUP(C59, 'FP Ranking'!$A$2:$A$544, 'FP Ranking'!$E$2:$E$544)&amp;{1,2,3,4,5,6,7,8,9,0}))-1)</f>
        <v>RB</v>
      </c>
      <c r="K59" s="1">
        <f t="shared" si="5"/>
        <v>-6</v>
      </c>
      <c r="L59" s="9">
        <f t="shared" si="6"/>
        <v>-1.1544306835054427E-2</v>
      </c>
      <c r="M59" s="2">
        <f t="shared" si="7"/>
        <v>0.246</v>
      </c>
    </row>
    <row r="60" spans="1:13" ht="13" x14ac:dyDescent="0.15">
      <c r="A60" s="7"/>
      <c r="B60" s="1">
        <f t="shared" si="4"/>
        <v>5</v>
      </c>
      <c r="C60" s="1">
        <v>59</v>
      </c>
      <c r="D60" s="1" t="str">
        <f>_xlfn.XLOOKUP( C60, 'FP Ranking'!$A$2:$A$544, 'FP Ranking'!$C$2:$C$544 )</f>
        <v>Jaylen Waddle</v>
      </c>
      <c r="E60" s="8" t="b">
        <v>0</v>
      </c>
      <c r="F60" s="8" t="b">
        <v>0</v>
      </c>
      <c r="G60" s="1">
        <f xml:space="preserve"> _xlfn.XLOOKUP(  D60, 'ESPN Ranking'!$B$2:$B$544, 'ESPN Ranking'!$A$2:$A$544 )</f>
        <v>57</v>
      </c>
      <c r="H60" s="1">
        <f>_xlfn.XLOOKUP( C60, 'FP Ranking'!$A$2:$A$544, 'FP Ranking'!$B$2:$B$544 )</f>
        <v>5</v>
      </c>
      <c r="I60" s="1" t="str">
        <f>_xlfn.XLOOKUP( C60, 'FP Ranking'!$A$2:$A$544, 'FP Ranking'!$D$2:$D$544 )</f>
        <v>MIA</v>
      </c>
      <c r="J60" s="1" t="str" cm="1">
        <f t="array" ref="J60">LEFT(_xlfn.XLOOKUP(C60, 'FP Ranking'!$A$2:$A$544, 'FP Ranking'!$E$2:$E$544), MIN(SEARCH({1,2,3,4,5,6,7,8,9,0}, _xlfn.XLOOKUP(C60, 'FP Ranking'!$A$2:$A$544, 'FP Ranking'!$E$2:$E$544)&amp;{1,2,3,4,5,6,7,8,9,0}))-1)</f>
        <v>WR</v>
      </c>
      <c r="K60" s="1">
        <f t="shared" si="5"/>
        <v>-2</v>
      </c>
      <c r="L60" s="9">
        <f t="shared" si="6"/>
        <v>-3.8319697157786002E-3</v>
      </c>
      <c r="M60" s="2">
        <f t="shared" si="7"/>
        <v>0.38100000000000001</v>
      </c>
    </row>
    <row r="61" spans="1:13" ht="13" x14ac:dyDescent="0.15">
      <c r="A61" s="7"/>
      <c r="B61" s="1">
        <f t="shared" si="4"/>
        <v>5</v>
      </c>
      <c r="C61" s="1">
        <v>60</v>
      </c>
      <c r="D61" s="1" t="str">
        <f>_xlfn.XLOOKUP( C61, 'FP Ranking'!$A$2:$A$544, 'FP Ranking'!$C$2:$C$544 )</f>
        <v>RJ Harvey</v>
      </c>
      <c r="E61" s="8" t="b">
        <v>0</v>
      </c>
      <c r="F61" s="8" t="b">
        <v>0</v>
      </c>
      <c r="G61" s="1">
        <f xml:space="preserve"> _xlfn.XLOOKUP(  D61, 'ESPN Ranking'!$B$2:$B$544, 'ESPN Ranking'!$A$2:$A$544 )</f>
        <v>71</v>
      </c>
      <c r="H61" s="1">
        <f>_xlfn.XLOOKUP( C61, 'FP Ranking'!$A$2:$A$544, 'FP Ranking'!$B$2:$B$544 )</f>
        <v>5</v>
      </c>
      <c r="I61" s="1" t="str">
        <f>_xlfn.XLOOKUP( C61, 'FP Ranking'!$A$2:$A$544, 'FP Ranking'!$D$2:$D$544 )</f>
        <v>DEN</v>
      </c>
      <c r="J61" s="1" t="str" cm="1">
        <f t="array" ref="J61">LEFT(_xlfn.XLOOKUP(C61, 'FP Ranking'!$A$2:$A$544, 'FP Ranking'!$E$2:$E$544), MIN(SEARCH({1,2,3,4,5,6,7,8,9,0}, _xlfn.XLOOKUP(C61, 'FP Ranking'!$A$2:$A$544, 'FP Ranking'!$E$2:$E$544)&amp;{1,2,3,4,5,6,7,8,9,0}))-1)</f>
        <v>RB</v>
      </c>
      <c r="K61" s="1">
        <f t="shared" si="5"/>
        <v>11</v>
      </c>
      <c r="L61" s="9">
        <f t="shared" si="6"/>
        <v>2.098931799559137E-2</v>
      </c>
      <c r="M61" s="2">
        <f t="shared" si="7"/>
        <v>0.77800000000000002</v>
      </c>
    </row>
    <row r="62" spans="1:13" ht="13" x14ac:dyDescent="0.15">
      <c r="A62" s="7"/>
      <c r="B62" s="1">
        <f t="shared" si="4"/>
        <v>6</v>
      </c>
      <c r="C62" s="1">
        <v>61</v>
      </c>
      <c r="D62" s="1" t="str">
        <f>_xlfn.XLOOKUP( C62, 'FP Ranking'!$A$2:$A$544, 'FP Ranking'!$C$2:$C$544 )</f>
        <v>Isiah Pacheco</v>
      </c>
      <c r="E62" s="8" t="b">
        <v>0</v>
      </c>
      <c r="F62" s="8" t="b">
        <v>0</v>
      </c>
      <c r="G62" s="1">
        <f xml:space="preserve"> _xlfn.XLOOKUP(  D62, 'ESPN Ranking'!$B$2:$B$544, 'ESPN Ranking'!$A$2:$A$544 )</f>
        <v>72</v>
      </c>
      <c r="H62" s="1">
        <f>_xlfn.XLOOKUP( C62, 'FP Ranking'!$A$2:$A$544, 'FP Ranking'!$B$2:$B$544 )</f>
        <v>5</v>
      </c>
      <c r="I62" s="1" t="str">
        <f>_xlfn.XLOOKUP( C62, 'FP Ranking'!$A$2:$A$544, 'FP Ranking'!$D$2:$D$544 )</f>
        <v>KC</v>
      </c>
      <c r="J62" s="1" t="str" cm="1">
        <f t="array" ref="J62">LEFT(_xlfn.XLOOKUP(C62, 'FP Ranking'!$A$2:$A$544, 'FP Ranking'!$E$2:$E$544), MIN(SEARCH({1,2,3,4,5,6,7,8,9,0}, _xlfn.XLOOKUP(C62, 'FP Ranking'!$A$2:$A$544, 'FP Ranking'!$E$2:$E$544)&amp;{1,2,3,4,5,6,7,8,9,0}))-1)</f>
        <v>RB</v>
      </c>
      <c r="K62" s="1">
        <f t="shared" si="5"/>
        <v>11</v>
      </c>
      <c r="L62" s="9">
        <f t="shared" si="6"/>
        <v>2.0904922612428992E-2</v>
      </c>
      <c r="M62" s="2">
        <f t="shared" si="7"/>
        <v>0.77300000000000002</v>
      </c>
    </row>
    <row r="63" spans="1:13" ht="13" x14ac:dyDescent="0.15">
      <c r="A63" s="7"/>
      <c r="B63" s="1">
        <f t="shared" si="4"/>
        <v>6</v>
      </c>
      <c r="C63" s="1">
        <v>62</v>
      </c>
      <c r="D63" s="1" t="str">
        <f>_xlfn.XLOOKUP( C63, 'FP Ranking'!$A$2:$A$544, 'FP Ranking'!$C$2:$C$544 )</f>
        <v>David Montgomery</v>
      </c>
      <c r="E63" s="8" t="b">
        <v>0</v>
      </c>
      <c r="F63" s="8" t="b">
        <v>0</v>
      </c>
      <c r="G63" s="1">
        <f xml:space="preserve"> _xlfn.XLOOKUP(  D63, 'ESPN Ranking'!$B$2:$B$544, 'ESPN Ranking'!$A$2:$A$544 )</f>
        <v>68</v>
      </c>
      <c r="H63" s="1">
        <f>_xlfn.XLOOKUP( C63, 'FP Ranking'!$A$2:$A$544, 'FP Ranking'!$B$2:$B$544 )</f>
        <v>5</v>
      </c>
      <c r="I63" s="1" t="str">
        <f>_xlfn.XLOOKUP( C63, 'FP Ranking'!$A$2:$A$544, 'FP Ranking'!$D$2:$D$544 )</f>
        <v>DET</v>
      </c>
      <c r="J63" s="1" t="str" cm="1">
        <f t="array" ref="J63">LEFT(_xlfn.XLOOKUP(C63, 'FP Ranking'!$A$2:$A$544, 'FP Ranking'!$E$2:$E$544), MIN(SEARCH({1,2,3,4,5,6,7,8,9,0}, _xlfn.XLOOKUP(C63, 'FP Ranking'!$A$2:$A$544, 'FP Ranking'!$E$2:$E$544)&amp;{1,2,3,4,5,6,7,8,9,0}))-1)</f>
        <v>RB</v>
      </c>
      <c r="K63" s="1">
        <f t="shared" si="5"/>
        <v>6</v>
      </c>
      <c r="L63" s="9">
        <f t="shared" si="6"/>
        <v>1.1357759555844426E-2</v>
      </c>
      <c r="M63" s="2">
        <f t="shared" si="7"/>
        <v>0.67300000000000004</v>
      </c>
    </row>
    <row r="64" spans="1:13" ht="13" x14ac:dyDescent="0.15">
      <c r="A64" s="7"/>
      <c r="B64" s="1">
        <f t="shared" si="4"/>
        <v>6</v>
      </c>
      <c r="C64" s="1">
        <v>63</v>
      </c>
      <c r="D64" s="1" t="str">
        <f>_xlfn.XLOOKUP( C64, 'FP Ranking'!$A$2:$A$544, 'FP Ranking'!$C$2:$C$544 )</f>
        <v>Zay Flowers</v>
      </c>
      <c r="E64" s="8" t="b">
        <v>0</v>
      </c>
      <c r="F64" s="8" t="b">
        <v>0</v>
      </c>
      <c r="G64" s="1">
        <f xml:space="preserve"> _xlfn.XLOOKUP(  D64, 'ESPN Ranking'!$B$2:$B$544, 'ESPN Ranking'!$A$2:$A$544 )</f>
        <v>53</v>
      </c>
      <c r="H64" s="1">
        <f>_xlfn.XLOOKUP( C64, 'FP Ranking'!$A$2:$A$544, 'FP Ranking'!$B$2:$B$544 )</f>
        <v>5</v>
      </c>
      <c r="I64" s="1" t="str">
        <f>_xlfn.XLOOKUP( C64, 'FP Ranking'!$A$2:$A$544, 'FP Ranking'!$D$2:$D$544 )</f>
        <v>BAL</v>
      </c>
      <c r="J64" s="1" t="str" cm="1">
        <f t="array" ref="J64">LEFT(_xlfn.XLOOKUP(C64, 'FP Ranking'!$A$2:$A$544, 'FP Ranking'!$E$2:$E$544), MIN(SEARCH({1,2,3,4,5,6,7,8,9,0}, _xlfn.XLOOKUP(C64, 'FP Ranking'!$A$2:$A$544, 'FP Ranking'!$E$2:$E$544)&amp;{1,2,3,4,5,6,7,8,9,0}))-1)</f>
        <v>WR</v>
      </c>
      <c r="K64" s="1">
        <f t="shared" si="5"/>
        <v>-10</v>
      </c>
      <c r="L64" s="9">
        <f t="shared" si="6"/>
        <v>-1.8856495180412113E-2</v>
      </c>
      <c r="M64" s="2">
        <f t="shared" si="7"/>
        <v>0.16500000000000001</v>
      </c>
    </row>
    <row r="65" spans="1:13" ht="13" x14ac:dyDescent="0.15">
      <c r="A65" s="7"/>
      <c r="B65" s="1">
        <f t="shared" si="4"/>
        <v>6</v>
      </c>
      <c r="C65" s="1">
        <v>64</v>
      </c>
      <c r="D65" s="1" t="str">
        <f>_xlfn.XLOOKUP( C65, 'FP Ranking'!$A$2:$A$544, 'FP Ranking'!$C$2:$C$544 )</f>
        <v>Sam LaPorta</v>
      </c>
      <c r="E65" s="8" t="b">
        <v>0</v>
      </c>
      <c r="F65" s="8" t="b">
        <v>0</v>
      </c>
      <c r="G65" s="1">
        <f xml:space="preserve"> _xlfn.XLOOKUP(  D65, 'ESPN Ranking'!$B$2:$B$544, 'ESPN Ranking'!$A$2:$A$544 )</f>
        <v>61</v>
      </c>
      <c r="H65" s="1">
        <f>_xlfn.XLOOKUP( C65, 'FP Ranking'!$A$2:$A$544, 'FP Ranking'!$B$2:$B$544 )</f>
        <v>5</v>
      </c>
      <c r="I65" s="1" t="str">
        <f>_xlfn.XLOOKUP( C65, 'FP Ranking'!$A$2:$A$544, 'FP Ranking'!$D$2:$D$544 )</f>
        <v>DET</v>
      </c>
      <c r="J65" s="1" t="str" cm="1">
        <f t="array" ref="J65">LEFT(_xlfn.XLOOKUP(C65, 'FP Ranking'!$A$2:$A$544, 'FP Ranking'!$E$2:$E$544), MIN(SEARCH({1,2,3,4,5,6,7,8,9,0}, _xlfn.XLOOKUP(C65, 'FP Ranking'!$A$2:$A$544, 'FP Ranking'!$E$2:$E$544)&amp;{1,2,3,4,5,6,7,8,9,0}))-1)</f>
        <v>TE</v>
      </c>
      <c r="K65" s="1">
        <f t="shared" si="5"/>
        <v>-3</v>
      </c>
      <c r="L65" s="9">
        <f t="shared" si="6"/>
        <v>-5.6355275034725141E-3</v>
      </c>
      <c r="M65" s="2">
        <f t="shared" si="7"/>
        <v>0.34100000000000003</v>
      </c>
    </row>
    <row r="66" spans="1:13" ht="13" x14ac:dyDescent="0.15">
      <c r="A66" s="7"/>
      <c r="B66" s="1">
        <f t="shared" ref="B66:B97" si="8">ROUNDUP( $C66 / 12,0)</f>
        <v>6</v>
      </c>
      <c r="C66" s="1">
        <v>65</v>
      </c>
      <c r="D66" s="1" t="str">
        <f>_xlfn.XLOOKUP( C66, 'FP Ranking'!$A$2:$A$544, 'FP Ranking'!$C$2:$C$544 )</f>
        <v>Patrick Mahomes II</v>
      </c>
      <c r="E66" s="8" t="b">
        <v>0</v>
      </c>
      <c r="F66" s="8" t="b">
        <v>0</v>
      </c>
      <c r="G66" s="1">
        <f xml:space="preserve"> _xlfn.XLOOKUP(  D66, 'ESPN Ranking'!$B$2:$B$544, 'ESPN Ranking'!$A$2:$A$544 )</f>
        <v>62</v>
      </c>
      <c r="H66" s="1">
        <f>_xlfn.XLOOKUP( C66, 'FP Ranking'!$A$2:$A$544, 'FP Ranking'!$B$2:$B$544 )</f>
        <v>5</v>
      </c>
      <c r="I66" s="1" t="str">
        <f>_xlfn.XLOOKUP( C66, 'FP Ranking'!$A$2:$A$544, 'FP Ranking'!$D$2:$D$544 )</f>
        <v>KC</v>
      </c>
      <c r="J66" s="1" t="str" cm="1">
        <f t="array" ref="J66">LEFT(_xlfn.XLOOKUP(C66, 'FP Ranking'!$A$2:$A$544, 'FP Ranking'!$E$2:$E$544), MIN(SEARCH({1,2,3,4,5,6,7,8,9,0}, _xlfn.XLOOKUP(C66, 'FP Ranking'!$A$2:$A$544, 'FP Ranking'!$E$2:$E$544)&amp;{1,2,3,4,5,6,7,8,9,0}))-1)</f>
        <v>QB</v>
      </c>
      <c r="K66" s="1">
        <f t="shared" ref="K66:K97" si="9">G66 - C66</f>
        <v>-3</v>
      </c>
      <c r="L66" s="9">
        <f t="shared" ref="L66:L97" si="10">( K66 / -LN( 1 / ( C66^128 + 1 ) ) )</f>
        <v>-5.6145964628207473E-3</v>
      </c>
      <c r="M66" s="2">
        <f t="shared" ref="M66:M97" si="11">PERCENTRANK( $L$2:$L$251, L66 )</f>
        <v>0.34599999999999997</v>
      </c>
    </row>
    <row r="67" spans="1:13" ht="13" x14ac:dyDescent="0.15">
      <c r="A67" s="7"/>
      <c r="B67" s="1">
        <f t="shared" si="8"/>
        <v>6</v>
      </c>
      <c r="C67" s="1">
        <v>66</v>
      </c>
      <c r="D67" s="1" t="str">
        <f>_xlfn.XLOOKUP( C67, 'FP Ranking'!$A$2:$A$544, 'FP Ranking'!$C$2:$C$544 )</f>
        <v>Aaron Jones Sr.</v>
      </c>
      <c r="E67" s="8" t="b">
        <v>0</v>
      </c>
      <c r="F67" s="8" t="b">
        <v>0</v>
      </c>
      <c r="G67" s="1">
        <f xml:space="preserve"> _xlfn.XLOOKUP(  D67, 'ESPN Ranking'!$B$2:$B$544, 'ESPN Ranking'!$A$2:$A$544 )</f>
        <v>70</v>
      </c>
      <c r="H67" s="1">
        <f>_xlfn.XLOOKUP( C67, 'FP Ranking'!$A$2:$A$544, 'FP Ranking'!$B$2:$B$544 )</f>
        <v>5</v>
      </c>
      <c r="I67" s="1" t="str">
        <f>_xlfn.XLOOKUP( C67, 'FP Ranking'!$A$2:$A$544, 'FP Ranking'!$D$2:$D$544 )</f>
        <v>MIN</v>
      </c>
      <c r="J67" s="1" t="str" cm="1">
        <f t="array" ref="J67">LEFT(_xlfn.XLOOKUP(C67, 'FP Ranking'!$A$2:$A$544, 'FP Ranking'!$E$2:$E$544), MIN(SEARCH({1,2,3,4,5,6,7,8,9,0}, _xlfn.XLOOKUP(C67, 'FP Ranking'!$A$2:$A$544, 'FP Ranking'!$E$2:$E$544)&amp;{1,2,3,4,5,6,7,8,9,0}))-1)</f>
        <v>RB</v>
      </c>
      <c r="K67" s="1">
        <f t="shared" si="9"/>
        <v>4</v>
      </c>
      <c r="L67" s="9">
        <f t="shared" si="10"/>
        <v>7.4588485028447005E-3</v>
      </c>
      <c r="M67" s="2">
        <f t="shared" si="11"/>
        <v>0.61799999999999999</v>
      </c>
    </row>
    <row r="68" spans="1:13" ht="13" x14ac:dyDescent="0.15">
      <c r="A68" s="7"/>
      <c r="B68" s="1">
        <f t="shared" si="8"/>
        <v>6</v>
      </c>
      <c r="C68" s="1">
        <v>67</v>
      </c>
      <c r="D68" s="1" t="str">
        <f>_xlfn.XLOOKUP( C68, 'FP Ranking'!$A$2:$A$544, 'FP Ranking'!$C$2:$C$544 )</f>
        <v>Travis Hunter</v>
      </c>
      <c r="E68" s="8" t="b">
        <v>0</v>
      </c>
      <c r="F68" s="8" t="b">
        <v>0</v>
      </c>
      <c r="G68" s="1">
        <f xml:space="preserve"> _xlfn.XLOOKUP(  D68, 'ESPN Ranking'!$B$2:$B$544, 'ESPN Ranking'!$A$2:$A$544 )</f>
        <v>66</v>
      </c>
      <c r="H68" s="1">
        <f>_xlfn.XLOOKUP( C68, 'FP Ranking'!$A$2:$A$544, 'FP Ranking'!$B$2:$B$544 )</f>
        <v>6</v>
      </c>
      <c r="I68" s="1" t="str">
        <f>_xlfn.XLOOKUP( C68, 'FP Ranking'!$A$2:$A$544, 'FP Ranking'!$D$2:$D$544 )</f>
        <v>JAC</v>
      </c>
      <c r="J68" s="1" t="str" cm="1">
        <f t="array" ref="J68">LEFT(_xlfn.XLOOKUP(C68, 'FP Ranking'!$A$2:$A$544, 'FP Ranking'!$E$2:$E$544), MIN(SEARCH({1,2,3,4,5,6,7,8,9,0}, _xlfn.XLOOKUP(C68, 'FP Ranking'!$A$2:$A$544, 'FP Ranking'!$E$2:$E$544)&amp;{1,2,3,4,5,6,7,8,9,0}))-1)</f>
        <v>WR</v>
      </c>
      <c r="K68" s="1">
        <f t="shared" si="9"/>
        <v>-1</v>
      </c>
      <c r="L68" s="9">
        <f t="shared" si="10"/>
        <v>-1.858043074057483E-3</v>
      </c>
      <c r="M68" s="2">
        <f t="shared" si="11"/>
        <v>0.42699999999999999</v>
      </c>
    </row>
    <row r="69" spans="1:13" ht="13" x14ac:dyDescent="0.15">
      <c r="A69" s="7"/>
      <c r="B69" s="1">
        <f t="shared" si="8"/>
        <v>6</v>
      </c>
      <c r="C69" s="1">
        <v>68</v>
      </c>
      <c r="D69" s="1" t="str">
        <f>_xlfn.XLOOKUP( C69, 'FP Ranking'!$A$2:$A$544, 'FP Ranking'!$C$2:$C$544 )</f>
        <v>T.J. Hockenson</v>
      </c>
      <c r="E69" s="8" t="b">
        <v>0</v>
      </c>
      <c r="F69" s="8" t="b">
        <v>0</v>
      </c>
      <c r="G69" s="1">
        <f xml:space="preserve"> _xlfn.XLOOKUP(  D69, 'ESPN Ranking'!$B$2:$B$544, 'ESPN Ranking'!$A$2:$A$544 )</f>
        <v>69</v>
      </c>
      <c r="H69" s="1">
        <f>_xlfn.XLOOKUP( C69, 'FP Ranking'!$A$2:$A$544, 'FP Ranking'!$B$2:$B$544 )</f>
        <v>6</v>
      </c>
      <c r="I69" s="1" t="str">
        <f>_xlfn.XLOOKUP( C69, 'FP Ranking'!$A$2:$A$544, 'FP Ranking'!$D$2:$D$544 )</f>
        <v>MIN</v>
      </c>
      <c r="J69" s="1" t="str" cm="1">
        <f t="array" ref="J69">LEFT(_xlfn.XLOOKUP(C69, 'FP Ranking'!$A$2:$A$544, 'FP Ranking'!$E$2:$E$544), MIN(SEARCH({1,2,3,4,5,6,7,8,9,0}, _xlfn.XLOOKUP(C69, 'FP Ranking'!$A$2:$A$544, 'FP Ranking'!$E$2:$E$544)&amp;{1,2,3,4,5,6,7,8,9,0}))-1)</f>
        <v>TE</v>
      </c>
      <c r="K69" s="1">
        <f t="shared" si="9"/>
        <v>1</v>
      </c>
      <c r="L69" s="9">
        <f t="shared" si="10"/>
        <v>1.8515193112258897E-3</v>
      </c>
      <c r="M69" s="2">
        <f t="shared" si="11"/>
        <v>0.51700000000000002</v>
      </c>
    </row>
    <row r="70" spans="1:13" ht="13" x14ac:dyDescent="0.15">
      <c r="A70" s="7"/>
      <c r="B70" s="1">
        <f t="shared" si="8"/>
        <v>6</v>
      </c>
      <c r="C70" s="1">
        <v>69</v>
      </c>
      <c r="D70" s="1" t="str">
        <f>_xlfn.XLOOKUP( C70, 'FP Ranking'!$A$2:$A$544, 'FP Ranking'!$C$2:$C$544 )</f>
        <v>Chris Olave</v>
      </c>
      <c r="E70" s="8" t="b">
        <v>0</v>
      </c>
      <c r="F70" s="8" t="b">
        <v>0</v>
      </c>
      <c r="G70" s="1">
        <f xml:space="preserve"> _xlfn.XLOOKUP(  D70, 'ESPN Ranking'!$B$2:$B$544, 'ESPN Ranking'!$A$2:$A$544 )</f>
        <v>76</v>
      </c>
      <c r="H70" s="1">
        <f>_xlfn.XLOOKUP( C70, 'FP Ranking'!$A$2:$A$544, 'FP Ranking'!$B$2:$B$544 )</f>
        <v>6</v>
      </c>
      <c r="I70" s="1" t="str">
        <f>_xlfn.XLOOKUP( C70, 'FP Ranking'!$A$2:$A$544, 'FP Ranking'!$D$2:$D$544 )</f>
        <v>NO</v>
      </c>
      <c r="J70" s="1" t="str" cm="1">
        <f t="array" ref="J70">LEFT(_xlfn.XLOOKUP(C70, 'FP Ranking'!$A$2:$A$544, 'FP Ranking'!$E$2:$E$544), MIN(SEARCH({1,2,3,4,5,6,7,8,9,0}, _xlfn.XLOOKUP(C70, 'FP Ranking'!$A$2:$A$544, 'FP Ranking'!$E$2:$E$544)&amp;{1,2,3,4,5,6,7,8,9,0}))-1)</f>
        <v>WR</v>
      </c>
      <c r="K70" s="1">
        <f t="shared" si="9"/>
        <v>7</v>
      </c>
      <c r="L70" s="9">
        <f t="shared" si="10"/>
        <v>1.2915948132297106E-2</v>
      </c>
      <c r="M70" s="2">
        <f t="shared" si="11"/>
        <v>0.69299999999999995</v>
      </c>
    </row>
    <row r="71" spans="1:13" ht="13" x14ac:dyDescent="0.15">
      <c r="A71" s="7"/>
      <c r="B71" s="1">
        <f t="shared" si="8"/>
        <v>6</v>
      </c>
      <c r="C71" s="1">
        <v>70</v>
      </c>
      <c r="D71" s="1" t="str">
        <f>_xlfn.XLOOKUP( C71, 'FP Ranking'!$A$2:$A$544, 'FP Ranking'!$C$2:$C$544 )</f>
        <v>Rome Odunze</v>
      </c>
      <c r="E71" s="8" t="b">
        <v>0</v>
      </c>
      <c r="F71" s="8" t="b">
        <v>0</v>
      </c>
      <c r="G71" s="1">
        <f xml:space="preserve"> _xlfn.XLOOKUP(  D71, 'ESPN Ranking'!$B$2:$B$544, 'ESPN Ranking'!$A$2:$A$544 )</f>
        <v>65</v>
      </c>
      <c r="H71" s="1">
        <f>_xlfn.XLOOKUP( C71, 'FP Ranking'!$A$2:$A$544, 'FP Ranking'!$B$2:$B$544 )</f>
        <v>6</v>
      </c>
      <c r="I71" s="1" t="str">
        <f>_xlfn.XLOOKUP( C71, 'FP Ranking'!$A$2:$A$544, 'FP Ranking'!$D$2:$D$544 )</f>
        <v>CHI</v>
      </c>
      <c r="J71" s="1" t="str" cm="1">
        <f t="array" ref="J71">LEFT(_xlfn.XLOOKUP(C71, 'FP Ranking'!$A$2:$A$544, 'FP Ranking'!$E$2:$E$544), MIN(SEARCH({1,2,3,4,5,6,7,8,9,0}, _xlfn.XLOOKUP(C71, 'FP Ranking'!$A$2:$A$544, 'FP Ranking'!$E$2:$E$544)&amp;{1,2,3,4,5,6,7,8,9,0}))-1)</f>
        <v>WR</v>
      </c>
      <c r="K71" s="1">
        <f t="shared" si="9"/>
        <v>-5</v>
      </c>
      <c r="L71" s="9">
        <f t="shared" si="10"/>
        <v>-9.1944318575151104E-3</v>
      </c>
      <c r="M71" s="2">
        <f t="shared" si="11"/>
        <v>0.28100000000000003</v>
      </c>
    </row>
    <row r="72" spans="1:13" ht="13" x14ac:dyDescent="0.15">
      <c r="A72" s="7"/>
      <c r="B72" s="1">
        <f t="shared" si="8"/>
        <v>6</v>
      </c>
      <c r="C72" s="1">
        <v>71</v>
      </c>
      <c r="D72" s="1" t="str">
        <f>_xlfn.XLOOKUP( C72, 'FP Ranking'!$A$2:$A$544, 'FP Ranking'!$C$2:$C$544 )</f>
        <v>Baker Mayfield</v>
      </c>
      <c r="E72" s="8" t="b">
        <v>0</v>
      </c>
      <c r="F72" s="8" t="b">
        <v>0</v>
      </c>
      <c r="G72" s="1">
        <f xml:space="preserve"> _xlfn.XLOOKUP(  D72, 'ESPN Ranking'!$B$2:$B$544, 'ESPN Ranking'!$A$2:$A$544 )</f>
        <v>63</v>
      </c>
      <c r="H72" s="1">
        <f>_xlfn.XLOOKUP( C72, 'FP Ranking'!$A$2:$A$544, 'FP Ranking'!$B$2:$B$544 )</f>
        <v>6</v>
      </c>
      <c r="I72" s="1" t="str">
        <f>_xlfn.XLOOKUP( C72, 'FP Ranking'!$A$2:$A$544, 'FP Ranking'!$D$2:$D$544 )</f>
        <v>TB</v>
      </c>
      <c r="J72" s="1" t="str" cm="1">
        <f t="array" ref="J72">LEFT(_xlfn.XLOOKUP(C72, 'FP Ranking'!$A$2:$A$544, 'FP Ranking'!$E$2:$E$544), MIN(SEARCH({1,2,3,4,5,6,7,8,9,0}, _xlfn.XLOOKUP(C72, 'FP Ranking'!$A$2:$A$544, 'FP Ranking'!$E$2:$E$544)&amp;{1,2,3,4,5,6,7,8,9,0}))-1)</f>
        <v>QB</v>
      </c>
      <c r="K72" s="1">
        <f t="shared" si="9"/>
        <v>-8</v>
      </c>
      <c r="L72" s="9">
        <f t="shared" si="10"/>
        <v>-1.4662137857600661E-2</v>
      </c>
      <c r="M72" s="2">
        <f t="shared" si="11"/>
        <v>0.19500000000000001</v>
      </c>
    </row>
    <row r="73" spans="1:13" ht="13" x14ac:dyDescent="0.15">
      <c r="A73" s="7"/>
      <c r="B73" s="1">
        <f t="shared" si="8"/>
        <v>6</v>
      </c>
      <c r="C73" s="1">
        <v>72</v>
      </c>
      <c r="D73" s="1" t="str">
        <f>_xlfn.XLOOKUP( C73, 'FP Ranking'!$A$2:$A$544, 'FP Ranking'!$C$2:$C$544 )</f>
        <v>Tyrone Tracy Jr.</v>
      </c>
      <c r="E73" s="8" t="b">
        <v>0</v>
      </c>
      <c r="F73" s="8" t="b">
        <v>0</v>
      </c>
      <c r="G73" s="1">
        <f xml:space="preserve"> _xlfn.XLOOKUP(  D73, 'ESPN Ranking'!$B$2:$B$544, 'ESPN Ranking'!$A$2:$A$544 )</f>
        <v>80</v>
      </c>
      <c r="H73" s="1">
        <f>_xlfn.XLOOKUP( C73, 'FP Ranking'!$A$2:$A$544, 'FP Ranking'!$B$2:$B$544 )</f>
        <v>6</v>
      </c>
      <c r="I73" s="1" t="str">
        <f>_xlfn.XLOOKUP( C73, 'FP Ranking'!$A$2:$A$544, 'FP Ranking'!$D$2:$D$544 )</f>
        <v>NYG</v>
      </c>
      <c r="J73" s="1" t="str" cm="1">
        <f t="array" ref="J73">LEFT(_xlfn.XLOOKUP(C73, 'FP Ranking'!$A$2:$A$544, 'FP Ranking'!$E$2:$E$544), MIN(SEARCH({1,2,3,4,5,6,7,8,9,0}, _xlfn.XLOOKUP(C73, 'FP Ranking'!$A$2:$A$544, 'FP Ranking'!$E$2:$E$544)&amp;{1,2,3,4,5,6,7,8,9,0}))-1)</f>
        <v>RB</v>
      </c>
      <c r="K73" s="1">
        <f t="shared" si="9"/>
        <v>8</v>
      </c>
      <c r="L73" s="9">
        <f t="shared" si="10"/>
        <v>1.4614187374154789E-2</v>
      </c>
      <c r="M73" s="2">
        <f t="shared" si="11"/>
        <v>0.71299999999999997</v>
      </c>
    </row>
    <row r="74" spans="1:13" ht="13" x14ac:dyDescent="0.15">
      <c r="A74" s="7"/>
      <c r="B74" s="1">
        <f t="shared" si="8"/>
        <v>7</v>
      </c>
      <c r="C74" s="1">
        <v>73</v>
      </c>
      <c r="D74" s="1" t="str">
        <f>_xlfn.XLOOKUP( C74, 'FP Ranking'!$A$2:$A$544, 'FP Ranking'!$C$2:$C$544 )</f>
        <v>Bo Nix</v>
      </c>
      <c r="E74" s="8" t="b">
        <v>0</v>
      </c>
      <c r="F74" s="8" t="b">
        <v>0</v>
      </c>
      <c r="G74" s="1">
        <f xml:space="preserve"> _xlfn.XLOOKUP(  D74, 'ESPN Ranking'!$B$2:$B$544, 'ESPN Ranking'!$A$2:$A$544 )</f>
        <v>87</v>
      </c>
      <c r="H74" s="1">
        <f>_xlfn.XLOOKUP( C74, 'FP Ranking'!$A$2:$A$544, 'FP Ranking'!$B$2:$B$544 )</f>
        <v>6</v>
      </c>
      <c r="I74" s="1" t="str">
        <f>_xlfn.XLOOKUP( C74, 'FP Ranking'!$A$2:$A$544, 'FP Ranking'!$D$2:$D$544 )</f>
        <v>DEN</v>
      </c>
      <c r="J74" s="1" t="str" cm="1">
        <f t="array" ref="J74">LEFT(_xlfn.XLOOKUP(C74, 'FP Ranking'!$A$2:$A$544, 'FP Ranking'!$E$2:$E$544), MIN(SEARCH({1,2,3,4,5,6,7,8,9,0}, _xlfn.XLOOKUP(C74, 'FP Ranking'!$A$2:$A$544, 'FP Ranking'!$E$2:$E$544)&amp;{1,2,3,4,5,6,7,8,9,0}))-1)</f>
        <v>QB</v>
      </c>
      <c r="K74" s="1">
        <f t="shared" si="9"/>
        <v>14</v>
      </c>
      <c r="L74" s="9">
        <f t="shared" si="10"/>
        <v>2.5492607843118201E-2</v>
      </c>
      <c r="M74" s="2">
        <f t="shared" si="11"/>
        <v>0.80900000000000005</v>
      </c>
    </row>
    <row r="75" spans="1:13" ht="13" x14ac:dyDescent="0.15">
      <c r="A75" s="7"/>
      <c r="B75" s="1">
        <f t="shared" si="8"/>
        <v>7</v>
      </c>
      <c r="C75" s="1">
        <v>74</v>
      </c>
      <c r="D75" s="1" t="str">
        <f>_xlfn.XLOOKUP( C75, 'FP Ranking'!$A$2:$A$544, 'FP Ranking'!$C$2:$C$544 )</f>
        <v>Ricky Pearsall</v>
      </c>
      <c r="E75" s="8" t="b">
        <v>0</v>
      </c>
      <c r="F75" s="8" t="b">
        <v>0</v>
      </c>
      <c r="G75" s="1">
        <f xml:space="preserve"> _xlfn.XLOOKUP(  D75, 'ESPN Ranking'!$B$2:$B$544, 'ESPN Ranking'!$A$2:$A$544 )</f>
        <v>77</v>
      </c>
      <c r="H75" s="1">
        <f>_xlfn.XLOOKUP( C75, 'FP Ranking'!$A$2:$A$544, 'FP Ranking'!$B$2:$B$544 )</f>
        <v>6</v>
      </c>
      <c r="I75" s="1" t="str">
        <f>_xlfn.XLOOKUP( C75, 'FP Ranking'!$A$2:$A$544, 'FP Ranking'!$D$2:$D$544 )</f>
        <v>SF</v>
      </c>
      <c r="J75" s="1" t="str" cm="1">
        <f t="array" ref="J75">LEFT(_xlfn.XLOOKUP(C75, 'FP Ranking'!$A$2:$A$544, 'FP Ranking'!$E$2:$E$544), MIN(SEARCH({1,2,3,4,5,6,7,8,9,0}, _xlfn.XLOOKUP(C75, 'FP Ranking'!$A$2:$A$544, 'FP Ranking'!$E$2:$E$544)&amp;{1,2,3,4,5,6,7,8,9,0}))-1)</f>
        <v>WR</v>
      </c>
      <c r="K75" s="1">
        <f t="shared" si="9"/>
        <v>3</v>
      </c>
      <c r="L75" s="9">
        <f t="shared" si="10"/>
        <v>5.4454334431433757E-3</v>
      </c>
      <c r="M75" s="2">
        <f t="shared" si="11"/>
        <v>0.57699999999999996</v>
      </c>
    </row>
    <row r="76" spans="1:13" ht="13" x14ac:dyDescent="0.15">
      <c r="A76" s="7"/>
      <c r="B76" s="1">
        <f t="shared" si="8"/>
        <v>7</v>
      </c>
      <c r="C76" s="1">
        <v>75</v>
      </c>
      <c r="D76" s="1" t="str">
        <f>_xlfn.XLOOKUP( C76, 'FP Ranking'!$A$2:$A$544, 'FP Ranking'!$C$2:$C$544 )</f>
        <v>Emeka Egbuka</v>
      </c>
      <c r="E76" s="8" t="b">
        <v>0</v>
      </c>
      <c r="F76" s="8" t="b">
        <v>0</v>
      </c>
      <c r="G76" s="1">
        <f xml:space="preserve"> _xlfn.XLOOKUP(  D76, 'ESPN Ranking'!$B$2:$B$544, 'ESPN Ranking'!$A$2:$A$544 )</f>
        <v>75</v>
      </c>
      <c r="H76" s="1">
        <f>_xlfn.XLOOKUP( C76, 'FP Ranking'!$A$2:$A$544, 'FP Ranking'!$B$2:$B$544 )</f>
        <v>6</v>
      </c>
      <c r="I76" s="1" t="str">
        <f>_xlfn.XLOOKUP( C76, 'FP Ranking'!$A$2:$A$544, 'FP Ranking'!$D$2:$D$544 )</f>
        <v>TB</v>
      </c>
      <c r="J76" s="1" t="str" cm="1">
        <f t="array" ref="J76">LEFT(_xlfn.XLOOKUP(C76, 'FP Ranking'!$A$2:$A$544, 'FP Ranking'!$E$2:$E$544), MIN(SEARCH({1,2,3,4,5,6,7,8,9,0}, _xlfn.XLOOKUP(C76, 'FP Ranking'!$A$2:$A$544, 'FP Ranking'!$E$2:$E$544)&amp;{1,2,3,4,5,6,7,8,9,0}))-1)</f>
        <v>WR</v>
      </c>
      <c r="K76" s="1">
        <f t="shared" si="9"/>
        <v>0</v>
      </c>
      <c r="L76" s="9">
        <f t="shared" si="10"/>
        <v>0</v>
      </c>
      <c r="M76" s="2">
        <f t="shared" si="11"/>
        <v>0.437</v>
      </c>
    </row>
    <row r="77" spans="1:13" ht="13" x14ac:dyDescent="0.15">
      <c r="A77" s="7"/>
      <c r="B77" s="1">
        <f t="shared" si="8"/>
        <v>7</v>
      </c>
      <c r="C77" s="1">
        <v>76</v>
      </c>
      <c r="D77" s="1" t="str">
        <f>_xlfn.XLOOKUP( C77, 'FP Ranking'!$A$2:$A$544, 'FP Ranking'!$C$2:$C$544 )</f>
        <v>Jerry Jeudy</v>
      </c>
      <c r="E77" s="8" t="b">
        <v>0</v>
      </c>
      <c r="F77" s="8" t="b">
        <v>0</v>
      </c>
      <c r="G77" s="1">
        <f xml:space="preserve"> _xlfn.XLOOKUP(  D77, 'ESPN Ranking'!$B$2:$B$544, 'ESPN Ranking'!$A$2:$A$544 )</f>
        <v>58</v>
      </c>
      <c r="H77" s="1">
        <f>_xlfn.XLOOKUP( C77, 'FP Ranking'!$A$2:$A$544, 'FP Ranking'!$B$2:$B$544 )</f>
        <v>6</v>
      </c>
      <c r="I77" s="1" t="str">
        <f>_xlfn.XLOOKUP( C77, 'FP Ranking'!$A$2:$A$544, 'FP Ranking'!$D$2:$D$544 )</f>
        <v>CLE</v>
      </c>
      <c r="J77" s="1" t="str" cm="1">
        <f t="array" ref="J77">LEFT(_xlfn.XLOOKUP(C77, 'FP Ranking'!$A$2:$A$544, 'FP Ranking'!$E$2:$E$544), MIN(SEARCH({1,2,3,4,5,6,7,8,9,0}, _xlfn.XLOOKUP(C77, 'FP Ranking'!$A$2:$A$544, 'FP Ranking'!$E$2:$E$544)&amp;{1,2,3,4,5,6,7,8,9,0}))-1)</f>
        <v>WR</v>
      </c>
      <c r="K77" s="1">
        <f t="shared" si="9"/>
        <v>-18</v>
      </c>
      <c r="L77" s="9">
        <f t="shared" si="10"/>
        <v>-3.2471405868342483E-2</v>
      </c>
      <c r="M77" s="2">
        <f t="shared" si="11"/>
        <v>6.5000000000000002E-2</v>
      </c>
    </row>
    <row r="78" spans="1:13" ht="13" x14ac:dyDescent="0.15">
      <c r="A78" s="7"/>
      <c r="B78" s="1">
        <f t="shared" si="8"/>
        <v>7</v>
      </c>
      <c r="C78" s="1">
        <v>77</v>
      </c>
      <c r="D78" s="1" t="str">
        <f>_xlfn.XLOOKUP( C78, 'FP Ranking'!$A$2:$A$544, 'FP Ranking'!$C$2:$C$544 )</f>
        <v>Jaylen Warren</v>
      </c>
      <c r="E78" s="8" t="b">
        <v>0</v>
      </c>
      <c r="F78" s="8" t="b">
        <v>0</v>
      </c>
      <c r="G78" s="1">
        <f xml:space="preserve"> _xlfn.XLOOKUP(  D78, 'ESPN Ranking'!$B$2:$B$544, 'ESPN Ranking'!$A$2:$A$544 )</f>
        <v>81</v>
      </c>
      <c r="H78" s="1">
        <f>_xlfn.XLOOKUP( C78, 'FP Ranking'!$A$2:$A$544, 'FP Ranking'!$B$2:$B$544 )</f>
        <v>6</v>
      </c>
      <c r="I78" s="1" t="str">
        <f>_xlfn.XLOOKUP( C78, 'FP Ranking'!$A$2:$A$544, 'FP Ranking'!$D$2:$D$544 )</f>
        <v>PIT</v>
      </c>
      <c r="J78" s="1" t="str" cm="1">
        <f t="array" ref="J78">LEFT(_xlfn.XLOOKUP(C78, 'FP Ranking'!$A$2:$A$544, 'FP Ranking'!$E$2:$E$544), MIN(SEARCH({1,2,3,4,5,6,7,8,9,0}, _xlfn.XLOOKUP(C78, 'FP Ranking'!$A$2:$A$544, 'FP Ranking'!$E$2:$E$544)&amp;{1,2,3,4,5,6,7,8,9,0}))-1)</f>
        <v>RB</v>
      </c>
      <c r="K78" s="1">
        <f t="shared" si="9"/>
        <v>4</v>
      </c>
      <c r="L78" s="9">
        <f t="shared" si="10"/>
        <v>7.1941528142078501E-3</v>
      </c>
      <c r="M78" s="2">
        <f t="shared" si="11"/>
        <v>0.60799999999999998</v>
      </c>
    </row>
    <row r="79" spans="1:13" ht="13" x14ac:dyDescent="0.15">
      <c r="A79" s="7"/>
      <c r="B79" s="1">
        <f t="shared" si="8"/>
        <v>7</v>
      </c>
      <c r="C79" s="1">
        <v>78</v>
      </c>
      <c r="D79" s="1" t="str">
        <f>_xlfn.XLOOKUP( C79, 'FP Ranking'!$A$2:$A$544, 'FP Ranking'!$C$2:$C$544 )</f>
        <v>Travis Kelce</v>
      </c>
      <c r="E79" s="8" t="b">
        <v>0</v>
      </c>
      <c r="F79" s="8" t="b">
        <v>0</v>
      </c>
      <c r="G79" s="1">
        <f xml:space="preserve"> _xlfn.XLOOKUP(  D79, 'ESPN Ranking'!$B$2:$B$544, 'ESPN Ranking'!$A$2:$A$544 )</f>
        <v>83</v>
      </c>
      <c r="H79" s="1">
        <f>_xlfn.XLOOKUP( C79, 'FP Ranking'!$A$2:$A$544, 'FP Ranking'!$B$2:$B$544 )</f>
        <v>6</v>
      </c>
      <c r="I79" s="1" t="str">
        <f>_xlfn.XLOOKUP( C79, 'FP Ranking'!$A$2:$A$544, 'FP Ranking'!$D$2:$D$544 )</f>
        <v>KC</v>
      </c>
      <c r="J79" s="1" t="str" cm="1">
        <f t="array" ref="J79">LEFT(_xlfn.XLOOKUP(C79, 'FP Ranking'!$A$2:$A$544, 'FP Ranking'!$E$2:$E$544), MIN(SEARCH({1,2,3,4,5,6,7,8,9,0}, _xlfn.XLOOKUP(C79, 'FP Ranking'!$A$2:$A$544, 'FP Ranking'!$E$2:$E$544)&amp;{1,2,3,4,5,6,7,8,9,0}))-1)</f>
        <v>TE</v>
      </c>
      <c r="K79" s="1">
        <f t="shared" si="9"/>
        <v>5</v>
      </c>
      <c r="L79" s="9">
        <f t="shared" si="10"/>
        <v>8.9660570751709627E-3</v>
      </c>
      <c r="M79" s="2">
        <f t="shared" si="11"/>
        <v>0.65800000000000003</v>
      </c>
    </row>
    <row r="80" spans="1:13" ht="13" x14ac:dyDescent="0.15">
      <c r="A80" s="7"/>
      <c r="B80" s="1">
        <f t="shared" si="8"/>
        <v>7</v>
      </c>
      <c r="C80" s="1">
        <v>79</v>
      </c>
      <c r="D80" s="1" t="str">
        <f>_xlfn.XLOOKUP( C80, 'FP Ranking'!$A$2:$A$544, 'FP Ranking'!$C$2:$C$544 )</f>
        <v>Rashee Rice</v>
      </c>
      <c r="E80" s="8" t="b">
        <v>0</v>
      </c>
      <c r="F80" s="8" t="b">
        <v>0</v>
      </c>
      <c r="G80" s="1">
        <f xml:space="preserve"> _xlfn.XLOOKUP(  D80, 'ESPN Ranking'!$B$2:$B$544, 'ESPN Ranking'!$A$2:$A$544 )</f>
        <v>60</v>
      </c>
      <c r="H80" s="1">
        <f>_xlfn.XLOOKUP( C80, 'FP Ranking'!$A$2:$A$544, 'FP Ranking'!$B$2:$B$544 )</f>
        <v>6</v>
      </c>
      <c r="I80" s="1" t="str">
        <f>_xlfn.XLOOKUP( C80, 'FP Ranking'!$A$2:$A$544, 'FP Ranking'!$D$2:$D$544 )</f>
        <v>KC</v>
      </c>
      <c r="J80" s="1" t="str" cm="1">
        <f t="array" ref="J80">LEFT(_xlfn.XLOOKUP(C80, 'FP Ranking'!$A$2:$A$544, 'FP Ranking'!$E$2:$E$544), MIN(SEARCH({1,2,3,4,5,6,7,8,9,0}, _xlfn.XLOOKUP(C80, 'FP Ranking'!$A$2:$A$544, 'FP Ranking'!$E$2:$E$544)&amp;{1,2,3,4,5,6,7,8,9,0}))-1)</f>
        <v>WR</v>
      </c>
      <c r="K80" s="1">
        <f t="shared" si="9"/>
        <v>-19</v>
      </c>
      <c r="L80" s="9">
        <f t="shared" si="10"/>
        <v>-3.3971683611280799E-2</v>
      </c>
      <c r="M80" s="2">
        <f t="shared" si="11"/>
        <v>0.06</v>
      </c>
    </row>
    <row r="81" spans="1:13" ht="13" x14ac:dyDescent="0.15">
      <c r="A81" s="7"/>
      <c r="B81" s="1">
        <f t="shared" si="8"/>
        <v>7</v>
      </c>
      <c r="C81" s="1">
        <v>80</v>
      </c>
      <c r="D81" s="1" t="str">
        <f>_xlfn.XLOOKUP( C81, 'FP Ranking'!$A$2:$A$544, 'FP Ranking'!$C$2:$C$544 )</f>
        <v>Mark Andrews</v>
      </c>
      <c r="E81" s="8" t="b">
        <v>0</v>
      </c>
      <c r="F81" s="8" t="b">
        <v>0</v>
      </c>
      <c r="G81" s="1">
        <f xml:space="preserve"> _xlfn.XLOOKUP(  D81, 'ESPN Ranking'!$B$2:$B$544, 'ESPN Ranking'!$A$2:$A$544 )</f>
        <v>85</v>
      </c>
      <c r="H81" s="1">
        <f>_xlfn.XLOOKUP( C81, 'FP Ranking'!$A$2:$A$544, 'FP Ranking'!$B$2:$B$544 )</f>
        <v>6</v>
      </c>
      <c r="I81" s="1" t="str">
        <f>_xlfn.XLOOKUP( C81, 'FP Ranking'!$A$2:$A$544, 'FP Ranking'!$D$2:$D$544 )</f>
        <v>BAL</v>
      </c>
      <c r="J81" s="1" t="str" cm="1">
        <f t="array" ref="J81">LEFT(_xlfn.XLOOKUP(C81, 'FP Ranking'!$A$2:$A$544, 'FP Ranking'!$E$2:$E$544), MIN(SEARCH({1,2,3,4,5,6,7,8,9,0}, _xlfn.XLOOKUP(C81, 'FP Ranking'!$A$2:$A$544, 'FP Ranking'!$E$2:$E$544)&amp;{1,2,3,4,5,6,7,8,9,0}))-1)</f>
        <v>TE</v>
      </c>
      <c r="K81" s="1">
        <f t="shared" si="9"/>
        <v>5</v>
      </c>
      <c r="L81" s="9">
        <f t="shared" si="10"/>
        <v>8.9142543522917461E-3</v>
      </c>
      <c r="M81" s="2">
        <f t="shared" si="11"/>
        <v>0.65300000000000002</v>
      </c>
    </row>
    <row r="82" spans="1:13" ht="13" x14ac:dyDescent="0.15">
      <c r="A82" s="7"/>
      <c r="B82" s="1">
        <f t="shared" si="8"/>
        <v>7</v>
      </c>
      <c r="C82" s="1">
        <v>81</v>
      </c>
      <c r="D82" s="1" t="str">
        <f>_xlfn.XLOOKUP( C82, 'FP Ranking'!$A$2:$A$544, 'FP Ranking'!$C$2:$C$544 )</f>
        <v>Stefon Diggs</v>
      </c>
      <c r="E82" s="8" t="b">
        <v>0</v>
      </c>
      <c r="F82" s="8" t="b">
        <v>0</v>
      </c>
      <c r="G82" s="1">
        <f xml:space="preserve"> _xlfn.XLOOKUP(  D82, 'ESPN Ranking'!$B$2:$B$544, 'ESPN Ranking'!$A$2:$A$544 )</f>
        <v>79</v>
      </c>
      <c r="H82" s="1">
        <f>_xlfn.XLOOKUP( C82, 'FP Ranking'!$A$2:$A$544, 'FP Ranking'!$B$2:$B$544 )</f>
        <v>6</v>
      </c>
      <c r="I82" s="1" t="str">
        <f>_xlfn.XLOOKUP( C82, 'FP Ranking'!$A$2:$A$544, 'FP Ranking'!$D$2:$D$544 )</f>
        <v>NE</v>
      </c>
      <c r="J82" s="1" t="str" cm="1">
        <f t="array" ref="J82">LEFT(_xlfn.XLOOKUP(C82, 'FP Ranking'!$A$2:$A$544, 'FP Ranking'!$E$2:$E$544), MIN(SEARCH({1,2,3,4,5,6,7,8,9,0}, _xlfn.XLOOKUP(C82, 'FP Ranking'!$A$2:$A$544, 'FP Ranking'!$E$2:$E$544)&amp;{1,2,3,4,5,6,7,8,9,0}))-1)</f>
        <v>WR</v>
      </c>
      <c r="K82" s="1">
        <f t="shared" si="9"/>
        <v>-2</v>
      </c>
      <c r="L82" s="9">
        <f t="shared" si="10"/>
        <v>-3.5556219790110833E-3</v>
      </c>
      <c r="M82" s="2">
        <f t="shared" si="11"/>
        <v>0.38600000000000001</v>
      </c>
    </row>
    <row r="83" spans="1:13" ht="13" x14ac:dyDescent="0.15">
      <c r="A83" s="7"/>
      <c r="B83" s="1">
        <f t="shared" si="8"/>
        <v>7</v>
      </c>
      <c r="C83" s="1">
        <v>82</v>
      </c>
      <c r="D83" s="1" t="str">
        <f>_xlfn.XLOOKUP( C83, 'FP Ranking'!$A$2:$A$544, 'FP Ranking'!$C$2:$C$544 )</f>
        <v>Dak Prescott</v>
      </c>
      <c r="E83" s="8" t="b">
        <v>0</v>
      </c>
      <c r="F83" s="8" t="b">
        <v>0</v>
      </c>
      <c r="G83" s="1">
        <f xml:space="preserve"> _xlfn.XLOOKUP(  D83, 'ESPN Ranking'!$B$2:$B$544, 'ESPN Ranking'!$A$2:$A$544 )</f>
        <v>106</v>
      </c>
      <c r="H83" s="1">
        <f>_xlfn.XLOOKUP( C83, 'FP Ranking'!$A$2:$A$544, 'FP Ranking'!$B$2:$B$544 )</f>
        <v>6</v>
      </c>
      <c r="I83" s="1" t="str">
        <f>_xlfn.XLOOKUP( C83, 'FP Ranking'!$A$2:$A$544, 'FP Ranking'!$D$2:$D$544 )</f>
        <v>DAL</v>
      </c>
      <c r="J83" s="1" t="str" cm="1">
        <f t="array" ref="J83">LEFT(_xlfn.XLOOKUP(C83, 'FP Ranking'!$A$2:$A$544, 'FP Ranking'!$E$2:$E$544), MIN(SEARCH({1,2,3,4,5,6,7,8,9,0}, _xlfn.XLOOKUP(C83, 'FP Ranking'!$A$2:$A$544, 'FP Ranking'!$E$2:$E$544)&amp;{1,2,3,4,5,6,7,8,9,0}))-1)</f>
        <v>QB</v>
      </c>
      <c r="K83" s="1">
        <f t="shared" si="9"/>
        <v>24</v>
      </c>
      <c r="L83" s="9">
        <f t="shared" si="10"/>
        <v>4.2548660234346072E-2</v>
      </c>
      <c r="M83" s="2">
        <f t="shared" si="11"/>
        <v>0.84899999999999998</v>
      </c>
    </row>
    <row r="84" spans="1:13" ht="13" x14ac:dyDescent="0.15">
      <c r="A84" s="7"/>
      <c r="B84" s="1">
        <f t="shared" si="8"/>
        <v>7</v>
      </c>
      <c r="C84" s="1">
        <v>83</v>
      </c>
      <c r="D84" s="1" t="str">
        <f>_xlfn.XLOOKUP( C84, 'FP Ranking'!$A$2:$A$544, 'FP Ranking'!$C$2:$C$544 )</f>
        <v>Kyler Murray</v>
      </c>
      <c r="E84" s="8" t="b">
        <v>0</v>
      </c>
      <c r="F84" s="8" t="b">
        <v>0</v>
      </c>
      <c r="G84" s="1">
        <f xml:space="preserve"> _xlfn.XLOOKUP(  D84, 'ESPN Ranking'!$B$2:$B$544, 'ESPN Ranking'!$A$2:$A$544 )</f>
        <v>88</v>
      </c>
      <c r="H84" s="1">
        <f>_xlfn.XLOOKUP( C84, 'FP Ranking'!$A$2:$A$544, 'FP Ranking'!$B$2:$B$544 )</f>
        <v>6</v>
      </c>
      <c r="I84" s="1" t="str">
        <f>_xlfn.XLOOKUP( C84, 'FP Ranking'!$A$2:$A$544, 'FP Ranking'!$D$2:$D$544 )</f>
        <v>ARI</v>
      </c>
      <c r="J84" s="1" t="str" cm="1">
        <f t="array" ref="J84">LEFT(_xlfn.XLOOKUP(C84, 'FP Ranking'!$A$2:$A$544, 'FP Ranking'!$E$2:$E$544), MIN(SEARCH({1,2,3,4,5,6,7,8,9,0}, _xlfn.XLOOKUP(C84, 'FP Ranking'!$A$2:$A$544, 'FP Ranking'!$E$2:$E$544)&amp;{1,2,3,4,5,6,7,8,9,0}))-1)</f>
        <v>QB</v>
      </c>
      <c r="K84" s="1">
        <f t="shared" si="9"/>
        <v>5</v>
      </c>
      <c r="L84" s="9">
        <f t="shared" si="10"/>
        <v>8.839988464638928E-3</v>
      </c>
      <c r="M84" s="2">
        <f t="shared" si="11"/>
        <v>0.64800000000000002</v>
      </c>
    </row>
    <row r="85" spans="1:13" ht="13" x14ac:dyDescent="0.15">
      <c r="A85" s="7"/>
      <c r="B85" s="1">
        <f t="shared" si="8"/>
        <v>7</v>
      </c>
      <c r="C85" s="1">
        <v>84</v>
      </c>
      <c r="D85" s="1" t="str">
        <f>_xlfn.XLOOKUP( C85, 'FP Ranking'!$A$2:$A$544, 'FP Ranking'!$C$2:$C$544 )</f>
        <v>Kaleb Johnson</v>
      </c>
      <c r="E85" s="8" t="b">
        <v>0</v>
      </c>
      <c r="F85" s="8" t="b">
        <v>0</v>
      </c>
      <c r="G85" s="1">
        <f xml:space="preserve"> _xlfn.XLOOKUP(  D85, 'ESPN Ranking'!$B$2:$B$544, 'ESPN Ranking'!$A$2:$A$544 )</f>
        <v>94</v>
      </c>
      <c r="H85" s="1">
        <f>_xlfn.XLOOKUP( C85, 'FP Ranking'!$A$2:$A$544, 'FP Ranking'!$B$2:$B$544 )</f>
        <v>6</v>
      </c>
      <c r="I85" s="1" t="str">
        <f>_xlfn.XLOOKUP( C85, 'FP Ranking'!$A$2:$A$544, 'FP Ranking'!$D$2:$D$544 )</f>
        <v>PIT</v>
      </c>
      <c r="J85" s="1" t="str" cm="1">
        <f t="array" ref="J85">LEFT(_xlfn.XLOOKUP(C85, 'FP Ranking'!$A$2:$A$544, 'FP Ranking'!$E$2:$E$544), MIN(SEARCH({1,2,3,4,5,6,7,8,9,0}, _xlfn.XLOOKUP(C85, 'FP Ranking'!$A$2:$A$544, 'FP Ranking'!$E$2:$E$544)&amp;{1,2,3,4,5,6,7,8,9,0}))-1)</f>
        <v>RB</v>
      </c>
      <c r="K85" s="1">
        <f t="shared" si="9"/>
        <v>10</v>
      </c>
      <c r="L85" s="9">
        <f t="shared" si="10"/>
        <v>1.763218917568312E-2</v>
      </c>
      <c r="M85" s="2">
        <f t="shared" si="11"/>
        <v>0.74299999999999999</v>
      </c>
    </row>
    <row r="86" spans="1:13" ht="13" x14ac:dyDescent="0.15">
      <c r="A86" s="7"/>
      <c r="B86" s="1">
        <f t="shared" si="8"/>
        <v>8</v>
      </c>
      <c r="C86" s="1">
        <v>85</v>
      </c>
      <c r="D86" s="1" t="str">
        <f>_xlfn.XLOOKUP( C86, 'FP Ranking'!$A$2:$A$544, 'FP Ranking'!$C$2:$C$544 )</f>
        <v>Jordan Mason</v>
      </c>
      <c r="E86" s="8" t="b">
        <v>0</v>
      </c>
      <c r="F86" s="8" t="b">
        <v>0</v>
      </c>
      <c r="G86" s="1">
        <f xml:space="preserve"> _xlfn.XLOOKUP(  D86, 'ESPN Ranking'!$B$2:$B$544, 'ESPN Ranking'!$A$2:$A$544 )</f>
        <v>114</v>
      </c>
      <c r="H86" s="1">
        <f>_xlfn.XLOOKUP( C86, 'FP Ranking'!$A$2:$A$544, 'FP Ranking'!$B$2:$B$544 )</f>
        <v>6</v>
      </c>
      <c r="I86" s="1" t="str">
        <f>_xlfn.XLOOKUP( C86, 'FP Ranking'!$A$2:$A$544, 'FP Ranking'!$D$2:$D$544 )</f>
        <v>MIN</v>
      </c>
      <c r="J86" s="1" t="str" cm="1">
        <f t="array" ref="J86">LEFT(_xlfn.XLOOKUP(C86, 'FP Ranking'!$A$2:$A$544, 'FP Ranking'!$E$2:$E$544), MIN(SEARCH({1,2,3,4,5,6,7,8,9,0}, _xlfn.XLOOKUP(C86, 'FP Ranking'!$A$2:$A$544, 'FP Ranking'!$E$2:$E$544)&amp;{1,2,3,4,5,6,7,8,9,0}))-1)</f>
        <v>RB</v>
      </c>
      <c r="K86" s="1">
        <f t="shared" si="9"/>
        <v>29</v>
      </c>
      <c r="L86" s="9">
        <f t="shared" si="10"/>
        <v>5.0997138177121697E-2</v>
      </c>
      <c r="M86" s="2">
        <f t="shared" si="11"/>
        <v>0.88400000000000001</v>
      </c>
    </row>
    <row r="87" spans="1:13" ht="13" x14ac:dyDescent="0.15">
      <c r="A87" s="7"/>
      <c r="B87" s="1">
        <f t="shared" si="8"/>
        <v>8</v>
      </c>
      <c r="C87" s="1">
        <v>86</v>
      </c>
      <c r="D87" s="1" t="str">
        <f>_xlfn.XLOOKUP( C87, 'FP Ranking'!$A$2:$A$544, 'FP Ranking'!$C$2:$C$544 )</f>
        <v>Travis Etienne Jr.</v>
      </c>
      <c r="E87" s="8" t="b">
        <v>0</v>
      </c>
      <c r="F87" s="8" t="b">
        <v>0</v>
      </c>
      <c r="G87" s="1">
        <f xml:space="preserve"> _xlfn.XLOOKUP(  D87, 'ESPN Ranking'!$B$2:$B$544, 'ESPN Ranking'!$A$2:$A$544 )</f>
        <v>115</v>
      </c>
      <c r="H87" s="1">
        <f>_xlfn.XLOOKUP( C87, 'FP Ranking'!$A$2:$A$544, 'FP Ranking'!$B$2:$B$544 )</f>
        <v>6</v>
      </c>
      <c r="I87" s="1" t="str">
        <f>_xlfn.XLOOKUP( C87, 'FP Ranking'!$A$2:$A$544, 'FP Ranking'!$D$2:$D$544 )</f>
        <v>JAC</v>
      </c>
      <c r="J87" s="1" t="str" cm="1">
        <f t="array" ref="J87">LEFT(_xlfn.XLOOKUP(C87, 'FP Ranking'!$A$2:$A$544, 'FP Ranking'!$E$2:$E$544), MIN(SEARCH({1,2,3,4,5,6,7,8,9,0}, _xlfn.XLOOKUP(C87, 'FP Ranking'!$A$2:$A$544, 'FP Ranking'!$E$2:$E$544)&amp;{1,2,3,4,5,6,7,8,9,0}))-1)</f>
        <v>RB</v>
      </c>
      <c r="K87" s="1">
        <f t="shared" si="9"/>
        <v>29</v>
      </c>
      <c r="L87" s="9">
        <f t="shared" si="10"/>
        <v>5.0863232013938095E-2</v>
      </c>
      <c r="M87" s="2">
        <f t="shared" si="11"/>
        <v>0.879</v>
      </c>
    </row>
    <row r="88" spans="1:13" ht="13" x14ac:dyDescent="0.15">
      <c r="A88" s="7"/>
      <c r="B88" s="1">
        <f t="shared" si="8"/>
        <v>8</v>
      </c>
      <c r="C88" s="1">
        <v>87</v>
      </c>
      <c r="D88" s="1" t="str">
        <f>_xlfn.XLOOKUP( C88, 'FP Ranking'!$A$2:$A$544, 'FP Ranking'!$C$2:$C$544 )</f>
        <v>David Njoku</v>
      </c>
      <c r="E88" s="8" t="b">
        <v>0</v>
      </c>
      <c r="F88" s="8" t="b">
        <v>0</v>
      </c>
      <c r="G88" s="1">
        <f xml:space="preserve"> _xlfn.XLOOKUP(  D88, 'ESPN Ranking'!$B$2:$B$544, 'ESPN Ranking'!$A$2:$A$544 )</f>
        <v>84</v>
      </c>
      <c r="H88" s="1">
        <f>_xlfn.XLOOKUP( C88, 'FP Ranking'!$A$2:$A$544, 'FP Ranking'!$B$2:$B$544 )</f>
        <v>6</v>
      </c>
      <c r="I88" s="1" t="str">
        <f>_xlfn.XLOOKUP( C88, 'FP Ranking'!$A$2:$A$544, 'FP Ranking'!$D$2:$D$544 )</f>
        <v>CLE</v>
      </c>
      <c r="J88" s="1" t="str" cm="1">
        <f t="array" ref="J88">LEFT(_xlfn.XLOOKUP(C88, 'FP Ranking'!$A$2:$A$544, 'FP Ranking'!$E$2:$E$544), MIN(SEARCH({1,2,3,4,5,6,7,8,9,0}, _xlfn.XLOOKUP(C88, 'FP Ranking'!$A$2:$A$544, 'FP Ranking'!$E$2:$E$544)&amp;{1,2,3,4,5,6,7,8,9,0}))-1)</f>
        <v>TE</v>
      </c>
      <c r="K88" s="1">
        <f t="shared" si="9"/>
        <v>-3</v>
      </c>
      <c r="L88" s="9">
        <f t="shared" si="10"/>
        <v>-5.248092745593895E-3</v>
      </c>
      <c r="M88" s="2">
        <f t="shared" si="11"/>
        <v>0.35099999999999998</v>
      </c>
    </row>
    <row r="89" spans="1:13" ht="13" x14ac:dyDescent="0.15">
      <c r="A89" s="7"/>
      <c r="B89" s="1">
        <f t="shared" si="8"/>
        <v>8</v>
      </c>
      <c r="C89" s="1">
        <v>88</v>
      </c>
      <c r="D89" s="1" t="str">
        <f>_xlfn.XLOOKUP( C89, 'FP Ranking'!$A$2:$A$544, 'FP Ranking'!$C$2:$C$544 )</f>
        <v>Jakobi Meyers</v>
      </c>
      <c r="E89" s="8" t="b">
        <v>0</v>
      </c>
      <c r="F89" s="8" t="b">
        <v>0</v>
      </c>
      <c r="G89" s="1">
        <f xml:space="preserve"> _xlfn.XLOOKUP(  D89, 'ESPN Ranking'!$B$2:$B$544, 'ESPN Ranking'!$A$2:$A$544 )</f>
        <v>73</v>
      </c>
      <c r="H89" s="1">
        <f>_xlfn.XLOOKUP( C89, 'FP Ranking'!$A$2:$A$544, 'FP Ranking'!$B$2:$B$544 )</f>
        <v>6</v>
      </c>
      <c r="I89" s="1" t="str">
        <f>_xlfn.XLOOKUP( C89, 'FP Ranking'!$A$2:$A$544, 'FP Ranking'!$D$2:$D$544 )</f>
        <v>LV</v>
      </c>
      <c r="J89" s="1" t="str" cm="1">
        <f t="array" ref="J89">LEFT(_xlfn.XLOOKUP(C89, 'FP Ranking'!$A$2:$A$544, 'FP Ranking'!$E$2:$E$544), MIN(SEARCH({1,2,3,4,5,6,7,8,9,0}, _xlfn.XLOOKUP(C89, 'FP Ranking'!$A$2:$A$544, 'FP Ranking'!$E$2:$E$544)&amp;{1,2,3,4,5,6,7,8,9,0}))-1)</f>
        <v>WR</v>
      </c>
      <c r="K89" s="1">
        <f t="shared" si="9"/>
        <v>-15</v>
      </c>
      <c r="L89" s="9">
        <f t="shared" si="10"/>
        <v>-2.6173483223566048E-2</v>
      </c>
      <c r="M89" s="2">
        <f t="shared" si="11"/>
        <v>0.115</v>
      </c>
    </row>
    <row r="90" spans="1:13" ht="13" x14ac:dyDescent="0.15">
      <c r="A90" s="7"/>
      <c r="B90" s="1">
        <f t="shared" si="8"/>
        <v>8</v>
      </c>
      <c r="C90" s="1">
        <v>89</v>
      </c>
      <c r="D90" s="1" t="str">
        <f>_xlfn.XLOOKUP( C90, 'FP Ranking'!$A$2:$A$544, 'FP Ranking'!$C$2:$C$544 )</f>
        <v>Deebo Samuel Sr.</v>
      </c>
      <c r="E90" s="8" t="b">
        <v>0</v>
      </c>
      <c r="F90" s="8" t="b">
        <v>0</v>
      </c>
      <c r="G90" s="1">
        <f xml:space="preserve"> _xlfn.XLOOKUP(  D90, 'ESPN Ranking'!$B$2:$B$544, 'ESPN Ranking'!$A$2:$A$544 )</f>
        <v>99</v>
      </c>
      <c r="H90" s="1">
        <f>_xlfn.XLOOKUP( C90, 'FP Ranking'!$A$2:$A$544, 'FP Ranking'!$B$2:$B$544 )</f>
        <v>6</v>
      </c>
      <c r="I90" s="1" t="str">
        <f>_xlfn.XLOOKUP( C90, 'FP Ranking'!$A$2:$A$544, 'FP Ranking'!$D$2:$D$544 )</f>
        <v>WAS</v>
      </c>
      <c r="J90" s="1" t="str" cm="1">
        <f t="array" ref="J90">LEFT(_xlfn.XLOOKUP(C90, 'FP Ranking'!$A$2:$A$544, 'FP Ranking'!$E$2:$E$544), MIN(SEARCH({1,2,3,4,5,6,7,8,9,0}, _xlfn.XLOOKUP(C90, 'FP Ranking'!$A$2:$A$544, 'FP Ranking'!$E$2:$E$544)&amp;{1,2,3,4,5,6,7,8,9,0}))-1)</f>
        <v>WR</v>
      </c>
      <c r="K90" s="1">
        <f t="shared" si="9"/>
        <v>10</v>
      </c>
      <c r="L90" s="9">
        <f t="shared" si="10"/>
        <v>1.7405063267502359E-2</v>
      </c>
      <c r="M90" s="2">
        <f t="shared" si="11"/>
        <v>0.73799999999999999</v>
      </c>
    </row>
    <row r="91" spans="1:13" ht="13" x14ac:dyDescent="0.15">
      <c r="A91" s="7"/>
      <c r="B91" s="1">
        <f t="shared" si="8"/>
        <v>8</v>
      </c>
      <c r="C91" s="1">
        <v>90</v>
      </c>
      <c r="D91" s="1" t="str">
        <f>_xlfn.XLOOKUP( C91, 'FP Ranking'!$A$2:$A$544, 'FP Ranking'!$C$2:$C$544 )</f>
        <v>Zach Charbonnet</v>
      </c>
      <c r="E91" s="8" t="b">
        <v>0</v>
      </c>
      <c r="F91" s="8" t="b">
        <v>0</v>
      </c>
      <c r="G91" s="1">
        <f xml:space="preserve"> _xlfn.XLOOKUP(  D91, 'ESPN Ranking'!$B$2:$B$544, 'ESPN Ranking'!$A$2:$A$544 )</f>
        <v>118</v>
      </c>
      <c r="H91" s="1">
        <f>_xlfn.XLOOKUP( C91, 'FP Ranking'!$A$2:$A$544, 'FP Ranking'!$B$2:$B$544 )</f>
        <v>6</v>
      </c>
      <c r="I91" s="1" t="str">
        <f>_xlfn.XLOOKUP( C91, 'FP Ranking'!$A$2:$A$544, 'FP Ranking'!$D$2:$D$544 )</f>
        <v>SEA</v>
      </c>
      <c r="J91" s="1" t="str" cm="1">
        <f t="array" ref="J91">LEFT(_xlfn.XLOOKUP(C91, 'FP Ranking'!$A$2:$A$544, 'FP Ranking'!$E$2:$E$544), MIN(SEARCH({1,2,3,4,5,6,7,8,9,0}, _xlfn.XLOOKUP(C91, 'FP Ranking'!$A$2:$A$544, 'FP Ranking'!$E$2:$E$544)&amp;{1,2,3,4,5,6,7,8,9,0}))-1)</f>
        <v>RB</v>
      </c>
      <c r="K91" s="1">
        <f t="shared" si="9"/>
        <v>28</v>
      </c>
      <c r="L91" s="9">
        <f t="shared" si="10"/>
        <v>4.8613167228458529E-2</v>
      </c>
      <c r="M91" s="2">
        <f t="shared" si="11"/>
        <v>0.86399999999999999</v>
      </c>
    </row>
    <row r="92" spans="1:13" ht="13" x14ac:dyDescent="0.15">
      <c r="A92" s="7"/>
      <c r="B92" s="1">
        <f t="shared" si="8"/>
        <v>8</v>
      </c>
      <c r="C92" s="1">
        <v>91</v>
      </c>
      <c r="D92" s="1" t="str">
        <f>_xlfn.XLOOKUP( C92, 'FP Ranking'!$A$2:$A$544, 'FP Ranking'!$C$2:$C$544 )</f>
        <v>Matthew Golden</v>
      </c>
      <c r="E92" s="8" t="b">
        <v>0</v>
      </c>
      <c r="F92" s="8" t="b">
        <v>0</v>
      </c>
      <c r="G92" s="1">
        <f xml:space="preserve"> _xlfn.XLOOKUP(  D92, 'ESPN Ranking'!$B$2:$B$544, 'ESPN Ranking'!$A$2:$A$544 )</f>
        <v>74</v>
      </c>
      <c r="H92" s="1">
        <f>_xlfn.XLOOKUP( C92, 'FP Ranking'!$A$2:$A$544, 'FP Ranking'!$B$2:$B$544 )</f>
        <v>6</v>
      </c>
      <c r="I92" s="1" t="str">
        <f>_xlfn.XLOOKUP( C92, 'FP Ranking'!$A$2:$A$544, 'FP Ranking'!$D$2:$D$544 )</f>
        <v>GB</v>
      </c>
      <c r="J92" s="1" t="str" cm="1">
        <f t="array" ref="J92">LEFT(_xlfn.XLOOKUP(C92, 'FP Ranking'!$A$2:$A$544, 'FP Ranking'!$E$2:$E$544), MIN(SEARCH({1,2,3,4,5,6,7,8,9,0}, _xlfn.XLOOKUP(C92, 'FP Ranking'!$A$2:$A$544, 'FP Ranking'!$E$2:$E$544)&amp;{1,2,3,4,5,6,7,8,9,0}))-1)</f>
        <v>WR</v>
      </c>
      <c r="K92" s="1">
        <f t="shared" si="9"/>
        <v>-17</v>
      </c>
      <c r="L92" s="9">
        <f t="shared" si="10"/>
        <v>-2.9442836738347859E-2</v>
      </c>
      <c r="M92" s="2">
        <f t="shared" si="11"/>
        <v>8.5000000000000006E-2</v>
      </c>
    </row>
    <row r="93" spans="1:13" ht="13" x14ac:dyDescent="0.15">
      <c r="A93" s="7"/>
      <c r="B93" s="1">
        <f t="shared" si="8"/>
        <v>8</v>
      </c>
      <c r="C93" s="1">
        <v>92</v>
      </c>
      <c r="D93" s="1" t="str">
        <f>_xlfn.XLOOKUP( C93, 'FP Ranking'!$A$2:$A$544, 'FP Ranking'!$C$2:$C$544 )</f>
        <v>Evan Engram</v>
      </c>
      <c r="E93" s="8" t="b">
        <v>0</v>
      </c>
      <c r="F93" s="8" t="b">
        <v>0</v>
      </c>
      <c r="G93" s="1">
        <f xml:space="preserve"> _xlfn.XLOOKUP(  D93, 'ESPN Ranking'!$B$2:$B$544, 'ESPN Ranking'!$A$2:$A$544 )</f>
        <v>86</v>
      </c>
      <c r="H93" s="1">
        <f>_xlfn.XLOOKUP( C93, 'FP Ranking'!$A$2:$A$544, 'FP Ranking'!$B$2:$B$544 )</f>
        <v>6</v>
      </c>
      <c r="I93" s="1" t="str">
        <f>_xlfn.XLOOKUP( C93, 'FP Ranking'!$A$2:$A$544, 'FP Ranking'!$D$2:$D$544 )</f>
        <v>DEN</v>
      </c>
      <c r="J93" s="1" t="str" cm="1">
        <f t="array" ref="J93">LEFT(_xlfn.XLOOKUP(C93, 'FP Ranking'!$A$2:$A$544, 'FP Ranking'!$E$2:$E$544), MIN(SEARCH({1,2,3,4,5,6,7,8,9,0}, _xlfn.XLOOKUP(C93, 'FP Ranking'!$A$2:$A$544, 'FP Ranking'!$E$2:$E$544)&amp;{1,2,3,4,5,6,7,8,9,0}))-1)</f>
        <v>TE</v>
      </c>
      <c r="K93" s="1">
        <f t="shared" si="9"/>
        <v>-6</v>
      </c>
      <c r="L93" s="9">
        <f t="shared" si="10"/>
        <v>-1.0366473177874903E-2</v>
      </c>
      <c r="M93" s="2">
        <f t="shared" si="11"/>
        <v>0.26600000000000001</v>
      </c>
    </row>
    <row r="94" spans="1:13" ht="13" x14ac:dyDescent="0.15">
      <c r="A94" s="7"/>
      <c r="B94" s="1">
        <f t="shared" si="8"/>
        <v>8</v>
      </c>
      <c r="C94" s="1">
        <v>93</v>
      </c>
      <c r="D94" s="1" t="str">
        <f>_xlfn.XLOOKUP( C94, 'FP Ranking'!$A$2:$A$544, 'FP Ranking'!$C$2:$C$544 )</f>
        <v>Brock Purdy</v>
      </c>
      <c r="E94" s="8" t="b">
        <v>0</v>
      </c>
      <c r="F94" s="8" t="b">
        <v>0</v>
      </c>
      <c r="G94" s="1">
        <f xml:space="preserve"> _xlfn.XLOOKUP(  D94, 'ESPN Ranking'!$B$2:$B$544, 'ESPN Ranking'!$A$2:$A$544 )</f>
        <v>89</v>
      </c>
      <c r="H94" s="1">
        <f>_xlfn.XLOOKUP( C94, 'FP Ranking'!$A$2:$A$544, 'FP Ranking'!$B$2:$B$544 )</f>
        <v>6</v>
      </c>
      <c r="I94" s="1" t="str">
        <f>_xlfn.XLOOKUP( C94, 'FP Ranking'!$A$2:$A$544, 'FP Ranking'!$D$2:$D$544 )</f>
        <v>SF</v>
      </c>
      <c r="J94" s="1" t="str" cm="1">
        <f t="array" ref="J94">LEFT(_xlfn.XLOOKUP(C94, 'FP Ranking'!$A$2:$A$544, 'FP Ranking'!$E$2:$E$544), MIN(SEARCH({1,2,3,4,5,6,7,8,9,0}, _xlfn.XLOOKUP(C94, 'FP Ranking'!$A$2:$A$544, 'FP Ranking'!$E$2:$E$544)&amp;{1,2,3,4,5,6,7,8,9,0}))-1)</f>
        <v>QB</v>
      </c>
      <c r="K94" s="1">
        <f t="shared" si="9"/>
        <v>-4</v>
      </c>
      <c r="L94" s="9">
        <f t="shared" si="10"/>
        <v>-6.8944984102841788E-3</v>
      </c>
      <c r="M94" s="2">
        <f t="shared" si="11"/>
        <v>0.316</v>
      </c>
    </row>
    <row r="95" spans="1:13" ht="13" x14ac:dyDescent="0.15">
      <c r="A95" s="7"/>
      <c r="B95" s="1">
        <f t="shared" si="8"/>
        <v>8</v>
      </c>
      <c r="C95" s="1">
        <v>94</v>
      </c>
      <c r="D95" s="1" t="str">
        <f>_xlfn.XLOOKUP( C95, 'FP Ranking'!$A$2:$A$544, 'FP Ranking'!$C$2:$C$544 )</f>
        <v>J.K. Dobbins</v>
      </c>
      <c r="E95" s="8" t="b">
        <v>0</v>
      </c>
      <c r="F95" s="8" t="b">
        <v>0</v>
      </c>
      <c r="G95" s="1">
        <f xml:space="preserve"> _xlfn.XLOOKUP(  D95, 'ESPN Ranking'!$B$2:$B$544, 'ESPN Ranking'!$A$2:$A$544 )</f>
        <v>91</v>
      </c>
      <c r="H95" s="1">
        <f>_xlfn.XLOOKUP( C95, 'FP Ranking'!$A$2:$A$544, 'FP Ranking'!$B$2:$B$544 )</f>
        <v>6</v>
      </c>
      <c r="I95" s="1" t="str">
        <f>_xlfn.XLOOKUP( C95, 'FP Ranking'!$A$2:$A$544, 'FP Ranking'!$D$2:$D$544 )</f>
        <v>DEN</v>
      </c>
      <c r="J95" s="1" t="str" cm="1">
        <f t="array" ref="J95">LEFT(_xlfn.XLOOKUP(C95, 'FP Ranking'!$A$2:$A$544, 'FP Ranking'!$E$2:$E$544), MIN(SEARCH({1,2,3,4,5,6,7,8,9,0}, _xlfn.XLOOKUP(C95, 'FP Ranking'!$A$2:$A$544, 'FP Ranking'!$E$2:$E$544)&amp;{1,2,3,4,5,6,7,8,9,0}))-1)</f>
        <v>RB</v>
      </c>
      <c r="K95" s="1">
        <f t="shared" si="9"/>
        <v>-3</v>
      </c>
      <c r="L95" s="9">
        <f t="shared" si="10"/>
        <v>-5.1587011460193493E-3</v>
      </c>
      <c r="M95" s="2">
        <f t="shared" si="11"/>
        <v>0.36099999999999999</v>
      </c>
    </row>
    <row r="96" spans="1:13" ht="13" x14ac:dyDescent="0.15">
      <c r="A96" s="7"/>
      <c r="B96" s="1">
        <f t="shared" si="8"/>
        <v>8</v>
      </c>
      <c r="C96" s="1">
        <v>95</v>
      </c>
      <c r="D96" s="1" t="str">
        <f>_xlfn.XLOOKUP( C96, 'FP Ranking'!$A$2:$A$544, 'FP Ranking'!$C$2:$C$544 )</f>
        <v>Justin Fields</v>
      </c>
      <c r="E96" s="8" t="b">
        <v>0</v>
      </c>
      <c r="F96" s="8" t="b">
        <v>0</v>
      </c>
      <c r="G96" s="1">
        <f xml:space="preserve"> _xlfn.XLOOKUP(  D96, 'ESPN Ranking'!$B$2:$B$544, 'ESPN Ranking'!$A$2:$A$544 )</f>
        <v>121</v>
      </c>
      <c r="H96" s="1">
        <f>_xlfn.XLOOKUP( C96, 'FP Ranking'!$A$2:$A$544, 'FP Ranking'!$B$2:$B$544 )</f>
        <v>6</v>
      </c>
      <c r="I96" s="1" t="str">
        <f>_xlfn.XLOOKUP( C96, 'FP Ranking'!$A$2:$A$544, 'FP Ranking'!$D$2:$D$544 )</f>
        <v>NYJ</v>
      </c>
      <c r="J96" s="1" t="str" cm="1">
        <f t="array" ref="J96">LEFT(_xlfn.XLOOKUP(C96, 'FP Ranking'!$A$2:$A$544, 'FP Ranking'!$E$2:$E$544), MIN(SEARCH({1,2,3,4,5,6,7,8,9,0}, _xlfn.XLOOKUP(C96, 'FP Ranking'!$A$2:$A$544, 'FP Ranking'!$E$2:$E$544)&amp;{1,2,3,4,5,6,7,8,9,0}))-1)</f>
        <v>QB</v>
      </c>
      <c r="K96" s="1">
        <f t="shared" si="9"/>
        <v>26</v>
      </c>
      <c r="L96" s="9">
        <f t="shared" si="10"/>
        <v>4.4604850951209647E-2</v>
      </c>
      <c r="M96" s="2">
        <f t="shared" si="11"/>
        <v>0.85399999999999998</v>
      </c>
    </row>
    <row r="97" spans="1:13" ht="13" x14ac:dyDescent="0.15">
      <c r="A97" s="7"/>
      <c r="B97" s="1">
        <f t="shared" si="8"/>
        <v>8</v>
      </c>
      <c r="C97" s="1">
        <v>96</v>
      </c>
      <c r="D97" s="1" t="str">
        <f>_xlfn.XLOOKUP( C97, 'FP Ranking'!$A$2:$A$544, 'FP Ranking'!$C$2:$C$544 )</f>
        <v>Jordan Addison</v>
      </c>
      <c r="E97" s="8" t="b">
        <v>0</v>
      </c>
      <c r="F97" s="8" t="b">
        <v>0</v>
      </c>
      <c r="G97" s="1">
        <f xml:space="preserve"> _xlfn.XLOOKUP(  D97, 'ESPN Ranking'!$B$2:$B$544, 'ESPN Ranking'!$A$2:$A$544 )</f>
        <v>97</v>
      </c>
      <c r="H97" s="1">
        <f>_xlfn.XLOOKUP( C97, 'FP Ranking'!$A$2:$A$544, 'FP Ranking'!$B$2:$B$544 )</f>
        <v>6</v>
      </c>
      <c r="I97" s="1" t="str">
        <f>_xlfn.XLOOKUP( C97, 'FP Ranking'!$A$2:$A$544, 'FP Ranking'!$D$2:$D$544 )</f>
        <v>MIN</v>
      </c>
      <c r="J97" s="1" t="str" cm="1">
        <f t="array" ref="J97">LEFT(_xlfn.XLOOKUP(C97, 'FP Ranking'!$A$2:$A$544, 'FP Ranking'!$E$2:$E$544), MIN(SEARCH({1,2,3,4,5,6,7,8,9,0}, _xlfn.XLOOKUP(C97, 'FP Ranking'!$A$2:$A$544, 'FP Ranking'!$E$2:$E$544)&amp;{1,2,3,4,5,6,7,8,9,0}))-1)</f>
        <v>WR</v>
      </c>
      <c r="K97" s="1">
        <f t="shared" si="9"/>
        <v>1</v>
      </c>
      <c r="L97" s="9">
        <f t="shared" si="10"/>
        <v>1.7116354126102723E-3</v>
      </c>
      <c r="M97" s="2">
        <f t="shared" si="11"/>
        <v>0.51200000000000001</v>
      </c>
    </row>
    <row r="98" spans="1:13" ht="13" x14ac:dyDescent="0.15">
      <c r="A98" s="7"/>
      <c r="B98" s="1">
        <f t="shared" ref="B98:B129" si="12">ROUNDUP( $C98 / 12,0)</f>
        <v>9</v>
      </c>
      <c r="C98" s="1">
        <v>97</v>
      </c>
      <c r="D98" s="1" t="str">
        <f>_xlfn.XLOOKUP( C98, 'FP Ranking'!$A$2:$A$544, 'FP Ranking'!$C$2:$C$544 )</f>
        <v>Tyler Warren</v>
      </c>
      <c r="E98" s="8" t="b">
        <v>0</v>
      </c>
      <c r="F98" s="8" t="b">
        <v>0</v>
      </c>
      <c r="G98" s="1">
        <f xml:space="preserve"> _xlfn.XLOOKUP(  D98, 'ESPN Ranking'!$B$2:$B$544, 'ESPN Ranking'!$A$2:$A$544 )</f>
        <v>113</v>
      </c>
      <c r="H98" s="1">
        <f>_xlfn.XLOOKUP( C98, 'FP Ranking'!$A$2:$A$544, 'FP Ranking'!$B$2:$B$544 )</f>
        <v>6</v>
      </c>
      <c r="I98" s="1" t="str">
        <f>_xlfn.XLOOKUP( C98, 'FP Ranking'!$A$2:$A$544, 'FP Ranking'!$D$2:$D$544 )</f>
        <v>IND</v>
      </c>
      <c r="J98" s="1" t="str" cm="1">
        <f t="array" ref="J98">LEFT(_xlfn.XLOOKUP(C98, 'FP Ranking'!$A$2:$A$544, 'FP Ranking'!$E$2:$E$544), MIN(SEARCH({1,2,3,4,5,6,7,8,9,0}, _xlfn.XLOOKUP(C98, 'FP Ranking'!$A$2:$A$544, 'FP Ranking'!$E$2:$E$544)&amp;{1,2,3,4,5,6,7,8,9,0}))-1)</f>
        <v>TE</v>
      </c>
      <c r="K98" s="1">
        <f t="shared" ref="K98:K129" si="13">G98 - C98</f>
        <v>16</v>
      </c>
      <c r="L98" s="9">
        <f t="shared" ref="L98:L129" si="14">( K98 / -LN( 1 / ( C98^128 + 1 ) ) )</f>
        <v>2.7324130548875409E-2</v>
      </c>
      <c r="M98" s="2">
        <f t="shared" ref="M98:M129" si="15">PERCENTRANK( $L$2:$L$251, L98 )</f>
        <v>0.82399999999999995</v>
      </c>
    </row>
    <row r="99" spans="1:13" ht="13" x14ac:dyDescent="0.15">
      <c r="A99" s="7"/>
      <c r="B99" s="1">
        <f t="shared" si="12"/>
        <v>9</v>
      </c>
      <c r="C99" s="1">
        <v>98</v>
      </c>
      <c r="D99" s="1" t="str">
        <f>_xlfn.XLOOKUP( C99, 'FP Ranking'!$A$2:$A$544, 'FP Ranking'!$C$2:$C$544 )</f>
        <v>Tucker Kraft</v>
      </c>
      <c r="E99" s="8" t="b">
        <v>0</v>
      </c>
      <c r="F99" s="8" t="b">
        <v>0</v>
      </c>
      <c r="G99" s="1">
        <f xml:space="preserve"> _xlfn.XLOOKUP(  D99, 'ESPN Ranking'!$B$2:$B$544, 'ESPN Ranking'!$A$2:$A$544 )</f>
        <v>126</v>
      </c>
      <c r="H99" s="1">
        <f>_xlfn.XLOOKUP( C99, 'FP Ranking'!$A$2:$A$544, 'FP Ranking'!$B$2:$B$544 )</f>
        <v>7</v>
      </c>
      <c r="I99" s="1" t="str">
        <f>_xlfn.XLOOKUP( C99, 'FP Ranking'!$A$2:$A$544, 'FP Ranking'!$D$2:$D$544 )</f>
        <v>GB</v>
      </c>
      <c r="J99" s="1" t="str" cm="1">
        <f t="array" ref="J99">LEFT(_xlfn.XLOOKUP(C99, 'FP Ranking'!$A$2:$A$544, 'FP Ranking'!$E$2:$E$544), MIN(SEARCH({1,2,3,4,5,6,7,8,9,0}, _xlfn.XLOOKUP(C99, 'FP Ranking'!$A$2:$A$544, 'FP Ranking'!$E$2:$E$544)&amp;{1,2,3,4,5,6,7,8,9,0}))-1)</f>
        <v>TE</v>
      </c>
      <c r="K99" s="1">
        <f t="shared" si="13"/>
        <v>28</v>
      </c>
      <c r="L99" s="9">
        <f t="shared" si="14"/>
        <v>4.7710262072224632E-2</v>
      </c>
      <c r="M99" s="2">
        <f t="shared" si="15"/>
        <v>0.85899999999999999</v>
      </c>
    </row>
    <row r="100" spans="1:13" ht="13" x14ac:dyDescent="0.15">
      <c r="A100" s="7"/>
      <c r="B100" s="1">
        <f t="shared" si="12"/>
        <v>9</v>
      </c>
      <c r="C100" s="1">
        <v>99</v>
      </c>
      <c r="D100" s="1" t="str">
        <f>_xlfn.XLOOKUP( C100, 'FP Ranking'!$A$2:$A$544, 'FP Ranking'!$C$2:$C$544 )</f>
        <v>Javonte Williams</v>
      </c>
      <c r="E100" s="8" t="b">
        <v>0</v>
      </c>
      <c r="F100" s="8" t="b">
        <v>0</v>
      </c>
      <c r="G100" s="1">
        <f xml:space="preserve"> _xlfn.XLOOKUP(  D100, 'ESPN Ranking'!$B$2:$B$544, 'ESPN Ranking'!$A$2:$A$544 )</f>
        <v>93</v>
      </c>
      <c r="H100" s="1">
        <f>_xlfn.XLOOKUP( C100, 'FP Ranking'!$A$2:$A$544, 'FP Ranking'!$B$2:$B$544 )</f>
        <v>7</v>
      </c>
      <c r="I100" s="1" t="str">
        <f>_xlfn.XLOOKUP( C100, 'FP Ranking'!$A$2:$A$544, 'FP Ranking'!$D$2:$D$544 )</f>
        <v>DAL</v>
      </c>
      <c r="J100" s="1" t="str" cm="1">
        <f t="array" ref="J100">LEFT(_xlfn.XLOOKUP(C100, 'FP Ranking'!$A$2:$A$544, 'FP Ranking'!$E$2:$E$544), MIN(SEARCH({1,2,3,4,5,6,7,8,9,0}, _xlfn.XLOOKUP(C100, 'FP Ranking'!$A$2:$A$544, 'FP Ranking'!$E$2:$E$544)&amp;{1,2,3,4,5,6,7,8,9,0}))-1)</f>
        <v>RB</v>
      </c>
      <c r="K100" s="1">
        <f t="shared" si="13"/>
        <v>-6</v>
      </c>
      <c r="L100" s="9">
        <f t="shared" si="14"/>
        <v>-1.0201039696195747E-2</v>
      </c>
      <c r="M100" s="2">
        <f t="shared" si="15"/>
        <v>0.27100000000000002</v>
      </c>
    </row>
    <row r="101" spans="1:13" ht="13" x14ac:dyDescent="0.15">
      <c r="A101" s="7"/>
      <c r="B101" s="1">
        <f t="shared" si="12"/>
        <v>9</v>
      </c>
      <c r="C101" s="1">
        <v>100</v>
      </c>
      <c r="D101" s="1" t="str">
        <f>_xlfn.XLOOKUP( C101, 'FP Ranking'!$A$2:$A$544, 'FP Ranking'!$C$2:$C$544 )</f>
        <v>Jauan Jennings</v>
      </c>
      <c r="E101" s="8" t="b">
        <v>0</v>
      </c>
      <c r="F101" s="8" t="b">
        <v>0</v>
      </c>
      <c r="G101" s="1">
        <f xml:space="preserve"> _xlfn.XLOOKUP(  D101, 'ESPN Ranking'!$B$2:$B$544, 'ESPN Ranking'!$A$2:$A$544 )</f>
        <v>98</v>
      </c>
      <c r="H101" s="1">
        <f>_xlfn.XLOOKUP( C101, 'FP Ranking'!$A$2:$A$544, 'FP Ranking'!$B$2:$B$544 )</f>
        <v>7</v>
      </c>
      <c r="I101" s="1" t="str">
        <f>_xlfn.XLOOKUP( C101, 'FP Ranking'!$A$2:$A$544, 'FP Ranking'!$D$2:$D$544 )</f>
        <v>SF</v>
      </c>
      <c r="J101" s="1" t="str" cm="1">
        <f t="array" ref="J101">LEFT(_xlfn.XLOOKUP(C101, 'FP Ranking'!$A$2:$A$544, 'FP Ranking'!$E$2:$E$544), MIN(SEARCH({1,2,3,4,5,6,7,8,9,0}, _xlfn.XLOOKUP(C101, 'FP Ranking'!$A$2:$A$544, 'FP Ranking'!$E$2:$E$544)&amp;{1,2,3,4,5,6,7,8,9,0}))-1)</f>
        <v>WR</v>
      </c>
      <c r="K101" s="1">
        <f t="shared" si="13"/>
        <v>-2</v>
      </c>
      <c r="L101" s="9">
        <f t="shared" si="14"/>
        <v>-3.3929256398691544E-3</v>
      </c>
      <c r="M101" s="2">
        <f t="shared" si="15"/>
        <v>0.39100000000000001</v>
      </c>
    </row>
    <row r="102" spans="1:13" ht="13" x14ac:dyDescent="0.15">
      <c r="A102" s="7"/>
      <c r="B102" s="1">
        <f t="shared" si="12"/>
        <v>9</v>
      </c>
      <c r="C102" s="1">
        <v>101</v>
      </c>
      <c r="D102" s="1" t="str">
        <f>_xlfn.XLOOKUP( C102, 'FP Ranking'!$A$2:$A$544, 'FP Ranking'!$C$2:$C$544 )</f>
        <v>Drake Maye</v>
      </c>
      <c r="E102" s="8" t="b">
        <v>0</v>
      </c>
      <c r="F102" s="8" t="b">
        <v>0</v>
      </c>
      <c r="G102" s="1">
        <f xml:space="preserve"> _xlfn.XLOOKUP(  D102, 'ESPN Ranking'!$B$2:$B$544, 'ESPN Ranking'!$A$2:$A$544 )</f>
        <v>105</v>
      </c>
      <c r="H102" s="1">
        <f>_xlfn.XLOOKUP( C102, 'FP Ranking'!$A$2:$A$544, 'FP Ranking'!$B$2:$B$544 )</f>
        <v>7</v>
      </c>
      <c r="I102" s="1" t="str">
        <f>_xlfn.XLOOKUP( C102, 'FP Ranking'!$A$2:$A$544, 'FP Ranking'!$D$2:$D$544 )</f>
        <v>NE</v>
      </c>
      <c r="J102" s="1" t="str" cm="1">
        <f t="array" ref="J102">LEFT(_xlfn.XLOOKUP(C102, 'FP Ranking'!$A$2:$A$544, 'FP Ranking'!$E$2:$E$544), MIN(SEARCH({1,2,3,4,5,6,7,8,9,0}, _xlfn.XLOOKUP(C102, 'FP Ranking'!$A$2:$A$544, 'FP Ranking'!$E$2:$E$544)&amp;{1,2,3,4,5,6,7,8,9,0}))-1)</f>
        <v>QB</v>
      </c>
      <c r="K102" s="1">
        <f t="shared" si="13"/>
        <v>4</v>
      </c>
      <c r="L102" s="9">
        <f t="shared" si="14"/>
        <v>6.7712207917353644E-3</v>
      </c>
      <c r="M102" s="2">
        <f t="shared" si="15"/>
        <v>0.59699999999999998</v>
      </c>
    </row>
    <row r="103" spans="1:13" ht="13" x14ac:dyDescent="0.15">
      <c r="A103" s="7"/>
      <c r="B103" s="1">
        <f t="shared" si="12"/>
        <v>9</v>
      </c>
      <c r="C103" s="1">
        <v>102</v>
      </c>
      <c r="D103" s="1" t="str">
        <f>_xlfn.XLOOKUP( C103, 'FP Ranking'!$A$2:$A$544, 'FP Ranking'!$C$2:$C$544 )</f>
        <v>Khalil Shakir</v>
      </c>
      <c r="E103" s="8" t="b">
        <v>0</v>
      </c>
      <c r="F103" s="8" t="b">
        <v>0</v>
      </c>
      <c r="G103" s="1">
        <f xml:space="preserve"> _xlfn.XLOOKUP(  D103, 'ESPN Ranking'!$B$2:$B$544, 'ESPN Ranking'!$A$2:$A$544 )</f>
        <v>100</v>
      </c>
      <c r="H103" s="1">
        <f>_xlfn.XLOOKUP( C103, 'FP Ranking'!$A$2:$A$544, 'FP Ranking'!$B$2:$B$544 )</f>
        <v>7</v>
      </c>
      <c r="I103" s="1" t="str">
        <f>_xlfn.XLOOKUP( C103, 'FP Ranking'!$A$2:$A$544, 'FP Ranking'!$D$2:$D$544 )</f>
        <v>BUF</v>
      </c>
      <c r="J103" s="1" t="str" cm="1">
        <f t="array" ref="J103">LEFT(_xlfn.XLOOKUP(C103, 'FP Ranking'!$A$2:$A$544, 'FP Ranking'!$E$2:$E$544), MIN(SEARCH({1,2,3,4,5,6,7,8,9,0}, _xlfn.XLOOKUP(C103, 'FP Ranking'!$A$2:$A$544, 'FP Ranking'!$E$2:$E$544)&amp;{1,2,3,4,5,6,7,8,9,0}))-1)</f>
        <v>WR</v>
      </c>
      <c r="K103" s="1">
        <f t="shared" si="13"/>
        <v>-2</v>
      </c>
      <c r="L103" s="9">
        <f t="shared" si="14"/>
        <v>-3.3783982373086483E-3</v>
      </c>
      <c r="M103" s="2">
        <f t="shared" si="15"/>
        <v>0.39600000000000002</v>
      </c>
    </row>
    <row r="104" spans="1:13" ht="13" x14ac:dyDescent="0.15">
      <c r="A104" s="7"/>
      <c r="B104" s="1">
        <f t="shared" si="12"/>
        <v>9</v>
      </c>
      <c r="C104" s="1">
        <v>103</v>
      </c>
      <c r="D104" s="1" t="str">
        <f>_xlfn.XLOOKUP( C104, 'FP Ranking'!$A$2:$A$544, 'FP Ranking'!$C$2:$C$544 )</f>
        <v>Caleb Williams</v>
      </c>
      <c r="E104" s="8" t="b">
        <v>0</v>
      </c>
      <c r="F104" s="8" t="b">
        <v>0</v>
      </c>
      <c r="G104" s="1">
        <f xml:space="preserve"> _xlfn.XLOOKUP(  D104, 'ESPN Ranking'!$B$2:$B$544, 'ESPN Ranking'!$A$2:$A$544 )</f>
        <v>104</v>
      </c>
      <c r="H104" s="1">
        <f>_xlfn.XLOOKUP( C104, 'FP Ranking'!$A$2:$A$544, 'FP Ranking'!$B$2:$B$544 )</f>
        <v>7</v>
      </c>
      <c r="I104" s="1" t="str">
        <f>_xlfn.XLOOKUP( C104, 'FP Ranking'!$A$2:$A$544, 'FP Ranking'!$D$2:$D$544 )</f>
        <v>CHI</v>
      </c>
      <c r="J104" s="1" t="str" cm="1">
        <f t="array" ref="J104">LEFT(_xlfn.XLOOKUP(C104, 'FP Ranking'!$A$2:$A$544, 'FP Ranking'!$E$2:$E$544), MIN(SEARCH({1,2,3,4,5,6,7,8,9,0}, _xlfn.XLOOKUP(C104, 'FP Ranking'!$A$2:$A$544, 'FP Ranking'!$E$2:$E$544)&amp;{1,2,3,4,5,6,7,8,9,0}))-1)</f>
        <v>QB</v>
      </c>
      <c r="K104" s="1">
        <f t="shared" si="13"/>
        <v>1</v>
      </c>
      <c r="L104" s="9">
        <f t="shared" si="14"/>
        <v>1.6856433288420178E-3</v>
      </c>
      <c r="M104" s="2">
        <f t="shared" si="15"/>
        <v>0.50700000000000001</v>
      </c>
    </row>
    <row r="105" spans="1:13" ht="13" x14ac:dyDescent="0.15">
      <c r="A105" s="7"/>
      <c r="B105" s="1">
        <f t="shared" si="12"/>
        <v>9</v>
      </c>
      <c r="C105" s="1">
        <v>104</v>
      </c>
      <c r="D105" s="1" t="str">
        <f>_xlfn.XLOOKUP( C105, 'FP Ranking'!$A$2:$A$544, 'FP Ranking'!$C$2:$C$544 )</f>
        <v>Justin Herbert</v>
      </c>
      <c r="E105" s="8" t="b">
        <v>0</v>
      </c>
      <c r="F105" s="8" t="b">
        <v>0</v>
      </c>
      <c r="G105" s="1">
        <f xml:space="preserve"> _xlfn.XLOOKUP(  D105, 'ESPN Ranking'!$B$2:$B$544, 'ESPN Ranking'!$A$2:$A$544 )</f>
        <v>103</v>
      </c>
      <c r="H105" s="1">
        <f>_xlfn.XLOOKUP( C105, 'FP Ranking'!$A$2:$A$544, 'FP Ranking'!$B$2:$B$544 )</f>
        <v>7</v>
      </c>
      <c r="I105" s="1" t="str">
        <f>_xlfn.XLOOKUP( C105, 'FP Ranking'!$A$2:$A$544, 'FP Ranking'!$D$2:$D$544 )</f>
        <v>LAC</v>
      </c>
      <c r="J105" s="1" t="str" cm="1">
        <f t="array" ref="J105">LEFT(_xlfn.XLOOKUP(C105, 'FP Ranking'!$A$2:$A$544, 'FP Ranking'!$E$2:$E$544), MIN(SEARCH({1,2,3,4,5,6,7,8,9,0}, _xlfn.XLOOKUP(C105, 'FP Ranking'!$A$2:$A$544, 'FP Ranking'!$E$2:$E$544)&amp;{1,2,3,4,5,6,7,8,9,0}))-1)</f>
        <v>QB</v>
      </c>
      <c r="K105" s="1">
        <f t="shared" si="13"/>
        <v>-1</v>
      </c>
      <c r="L105" s="9">
        <f t="shared" si="14"/>
        <v>-1.6821366180534737E-3</v>
      </c>
      <c r="M105" s="2">
        <f t="shared" si="15"/>
        <v>0.432</v>
      </c>
    </row>
    <row r="106" spans="1:13" ht="13" x14ac:dyDescent="0.15">
      <c r="A106" s="7"/>
      <c r="B106" s="1">
        <f t="shared" si="12"/>
        <v>9</v>
      </c>
      <c r="C106" s="1">
        <v>105</v>
      </c>
      <c r="D106" s="1" t="str">
        <f>_xlfn.XLOOKUP( C106, 'FP Ranking'!$A$2:$A$544, 'FP Ranking'!$C$2:$C$544 )</f>
        <v>Josh Downs</v>
      </c>
      <c r="E106" s="8" t="b">
        <v>0</v>
      </c>
      <c r="F106" s="8" t="b">
        <v>0</v>
      </c>
      <c r="G106" s="1">
        <f xml:space="preserve"> _xlfn.XLOOKUP(  D106, 'ESPN Ranking'!$B$2:$B$544, 'ESPN Ranking'!$A$2:$A$544 )</f>
        <v>107</v>
      </c>
      <c r="H106" s="1">
        <f>_xlfn.XLOOKUP( C106, 'FP Ranking'!$A$2:$A$544, 'FP Ranking'!$B$2:$B$544 )</f>
        <v>7</v>
      </c>
      <c r="I106" s="1" t="str">
        <f>_xlfn.XLOOKUP( C106, 'FP Ranking'!$A$2:$A$544, 'FP Ranking'!$D$2:$D$544 )</f>
        <v>IND</v>
      </c>
      <c r="J106" s="1" t="str" cm="1">
        <f t="array" ref="J106">LEFT(_xlfn.XLOOKUP(C106, 'FP Ranking'!$A$2:$A$544, 'FP Ranking'!$E$2:$E$544), MIN(SEARCH({1,2,3,4,5,6,7,8,9,0}, _xlfn.XLOOKUP(C106, 'FP Ranking'!$A$2:$A$544, 'FP Ranking'!$E$2:$E$544)&amp;{1,2,3,4,5,6,7,8,9,0}))-1)</f>
        <v>WR</v>
      </c>
      <c r="K106" s="1">
        <f t="shared" si="13"/>
        <v>2</v>
      </c>
      <c r="L106" s="9">
        <f t="shared" si="14"/>
        <v>3.3573556335672562E-3</v>
      </c>
      <c r="M106" s="2">
        <f t="shared" si="15"/>
        <v>0.54200000000000004</v>
      </c>
    </row>
    <row r="107" spans="1:13" ht="13" x14ac:dyDescent="0.15">
      <c r="A107" s="7"/>
      <c r="B107" s="1">
        <f t="shared" si="12"/>
        <v>9</v>
      </c>
      <c r="C107" s="1">
        <v>106</v>
      </c>
      <c r="D107" s="1" t="str">
        <f>_xlfn.XLOOKUP( C107, 'FP Ranking'!$A$2:$A$544, 'FP Ranking'!$C$2:$C$544 )</f>
        <v>Michael Pittman Jr.</v>
      </c>
      <c r="E107" s="8" t="b">
        <v>0</v>
      </c>
      <c r="F107" s="8" t="b">
        <v>0</v>
      </c>
      <c r="G107" s="1">
        <f xml:space="preserve"> _xlfn.XLOOKUP(  D107, 'ESPN Ranking'!$B$2:$B$544, 'ESPN Ranking'!$A$2:$A$544 )</f>
        <v>78</v>
      </c>
      <c r="H107" s="1">
        <f>_xlfn.XLOOKUP( C107, 'FP Ranking'!$A$2:$A$544, 'FP Ranking'!$B$2:$B$544 )</f>
        <v>7</v>
      </c>
      <c r="I107" s="1" t="str">
        <f>_xlfn.XLOOKUP( C107, 'FP Ranking'!$A$2:$A$544, 'FP Ranking'!$D$2:$D$544 )</f>
        <v>IND</v>
      </c>
      <c r="J107" s="1" t="str" cm="1">
        <f t="array" ref="J107">LEFT(_xlfn.XLOOKUP(C107, 'FP Ranking'!$A$2:$A$544, 'FP Ranking'!$E$2:$E$544), MIN(SEARCH({1,2,3,4,5,6,7,8,9,0}, _xlfn.XLOOKUP(C107, 'FP Ranking'!$A$2:$A$544, 'FP Ranking'!$E$2:$E$544)&amp;{1,2,3,4,5,6,7,8,9,0}))-1)</f>
        <v>WR</v>
      </c>
      <c r="K107" s="1">
        <f t="shared" si="13"/>
        <v>-28</v>
      </c>
      <c r="L107" s="9">
        <f t="shared" si="14"/>
        <v>-4.6907442251403662E-2</v>
      </c>
      <c r="M107" s="2">
        <f t="shared" si="15"/>
        <v>0.02</v>
      </c>
    </row>
    <row r="108" spans="1:13" ht="13" x14ac:dyDescent="0.15">
      <c r="A108" s="7"/>
      <c r="B108" s="1">
        <f t="shared" si="12"/>
        <v>9</v>
      </c>
      <c r="C108" s="1">
        <v>107</v>
      </c>
      <c r="D108" s="1" t="str">
        <f>_xlfn.XLOOKUP( C108, 'FP Ranking'!$A$2:$A$544, 'FP Ranking'!$C$2:$C$544 )</f>
        <v>Jared Goff</v>
      </c>
      <c r="E108" s="8" t="b">
        <v>0</v>
      </c>
      <c r="F108" s="8" t="b">
        <v>0</v>
      </c>
      <c r="G108" s="1">
        <f xml:space="preserve"> _xlfn.XLOOKUP(  D108, 'ESPN Ranking'!$B$2:$B$544, 'ESPN Ranking'!$A$2:$A$544 )</f>
        <v>143</v>
      </c>
      <c r="H108" s="1">
        <f>_xlfn.XLOOKUP( C108, 'FP Ranking'!$A$2:$A$544, 'FP Ranking'!$B$2:$B$544 )</f>
        <v>7</v>
      </c>
      <c r="I108" s="1" t="str">
        <f>_xlfn.XLOOKUP( C108, 'FP Ranking'!$A$2:$A$544, 'FP Ranking'!$D$2:$D$544 )</f>
        <v>DET</v>
      </c>
      <c r="J108" s="1" t="str" cm="1">
        <f t="array" ref="J108">LEFT(_xlfn.XLOOKUP(C108, 'FP Ranking'!$A$2:$A$544, 'FP Ranking'!$E$2:$E$544), MIN(SEARCH({1,2,3,4,5,6,7,8,9,0}, _xlfn.XLOOKUP(C108, 'FP Ranking'!$A$2:$A$544, 'FP Ranking'!$E$2:$E$544)&amp;{1,2,3,4,5,6,7,8,9,0}))-1)</f>
        <v>QB</v>
      </c>
      <c r="K108" s="1">
        <f t="shared" si="13"/>
        <v>36</v>
      </c>
      <c r="L108" s="9">
        <f t="shared" si="14"/>
        <v>6.0188380521407868E-2</v>
      </c>
      <c r="M108" s="2">
        <f t="shared" si="15"/>
        <v>0.89900000000000002</v>
      </c>
    </row>
    <row r="109" spans="1:13" ht="13" x14ac:dyDescent="0.15">
      <c r="A109" s="7"/>
      <c r="B109" s="1">
        <f t="shared" si="12"/>
        <v>9</v>
      </c>
      <c r="C109" s="1">
        <v>108</v>
      </c>
      <c r="D109" s="1" t="str">
        <f>_xlfn.XLOOKUP( C109, 'FP Ranking'!$A$2:$A$544, 'FP Ranking'!$C$2:$C$544 )</f>
        <v>Austin Ekeler</v>
      </c>
      <c r="E109" s="8" t="b">
        <v>0</v>
      </c>
      <c r="F109" s="8" t="b">
        <v>0</v>
      </c>
      <c r="G109" s="1">
        <f xml:space="preserve"> _xlfn.XLOOKUP(  D109, 'ESPN Ranking'!$B$2:$B$544, 'ESPN Ranking'!$A$2:$A$544 )</f>
        <v>90</v>
      </c>
      <c r="H109" s="1">
        <f>_xlfn.XLOOKUP( C109, 'FP Ranking'!$A$2:$A$544, 'FP Ranking'!$B$2:$B$544 )</f>
        <v>7</v>
      </c>
      <c r="I109" s="1" t="str">
        <f>_xlfn.XLOOKUP( C109, 'FP Ranking'!$A$2:$A$544, 'FP Ranking'!$D$2:$D$544 )</f>
        <v>WAS</v>
      </c>
      <c r="J109" s="1" t="str" cm="1">
        <f t="array" ref="J109">LEFT(_xlfn.XLOOKUP(C109, 'FP Ranking'!$A$2:$A$544, 'FP Ranking'!$E$2:$E$544), MIN(SEARCH({1,2,3,4,5,6,7,8,9,0}, _xlfn.XLOOKUP(C109, 'FP Ranking'!$A$2:$A$544, 'FP Ranking'!$E$2:$E$544)&amp;{1,2,3,4,5,6,7,8,9,0}))-1)</f>
        <v>RB</v>
      </c>
      <c r="K109" s="1">
        <f t="shared" si="13"/>
        <v>-18</v>
      </c>
      <c r="L109" s="9">
        <f t="shared" si="14"/>
        <v>-3.0034399545519001E-2</v>
      </c>
      <c r="M109" s="2">
        <f t="shared" si="15"/>
        <v>7.4999999999999997E-2</v>
      </c>
    </row>
    <row r="110" spans="1:13" ht="13" x14ac:dyDescent="0.15">
      <c r="A110" s="7"/>
      <c r="B110" s="1">
        <f t="shared" si="12"/>
        <v>10</v>
      </c>
      <c r="C110" s="1">
        <v>109</v>
      </c>
      <c r="D110" s="1" t="str">
        <f>_xlfn.XLOOKUP( C110, 'FP Ranking'!$A$2:$A$544, 'FP Ranking'!$C$2:$C$544 )</f>
        <v>Tank Bigsby</v>
      </c>
      <c r="E110" s="8" t="b">
        <v>0</v>
      </c>
      <c r="F110" s="8" t="b">
        <v>0</v>
      </c>
      <c r="G110" s="1">
        <f xml:space="preserve"> _xlfn.XLOOKUP(  D110, 'ESPN Ranking'!$B$2:$B$544, 'ESPN Ranking'!$A$2:$A$544 )</f>
        <v>116</v>
      </c>
      <c r="H110" s="1">
        <f>_xlfn.XLOOKUP( C110, 'FP Ranking'!$A$2:$A$544, 'FP Ranking'!$B$2:$B$544 )</f>
        <v>7</v>
      </c>
      <c r="I110" s="1" t="str">
        <f>_xlfn.XLOOKUP( C110, 'FP Ranking'!$A$2:$A$544, 'FP Ranking'!$D$2:$D$544 )</f>
        <v>JAC</v>
      </c>
      <c r="J110" s="1" t="str" cm="1">
        <f t="array" ref="J110">LEFT(_xlfn.XLOOKUP(C110, 'FP Ranking'!$A$2:$A$544, 'FP Ranking'!$E$2:$E$544), MIN(SEARCH({1,2,3,4,5,6,7,8,9,0}, _xlfn.XLOOKUP(C110, 'FP Ranking'!$A$2:$A$544, 'FP Ranking'!$E$2:$E$544)&amp;{1,2,3,4,5,6,7,8,9,0}))-1)</f>
        <v>RB</v>
      </c>
      <c r="K110" s="1">
        <f t="shared" si="13"/>
        <v>7</v>
      </c>
      <c r="L110" s="9">
        <f t="shared" si="14"/>
        <v>1.165709757043527E-2</v>
      </c>
      <c r="M110" s="2">
        <f t="shared" si="15"/>
        <v>0.67800000000000005</v>
      </c>
    </row>
    <row r="111" spans="1:13" ht="13" x14ac:dyDescent="0.15">
      <c r="A111" s="7"/>
      <c r="B111" s="1">
        <f t="shared" si="12"/>
        <v>10</v>
      </c>
      <c r="C111" s="1">
        <v>110</v>
      </c>
      <c r="D111" s="1" t="str">
        <f>_xlfn.XLOOKUP( C111, 'FP Ranking'!$A$2:$A$544, 'FP Ranking'!$C$2:$C$544 )</f>
        <v>Rhamondre Stevenson</v>
      </c>
      <c r="E111" s="8" t="b">
        <v>0</v>
      </c>
      <c r="F111" s="8" t="b">
        <v>0</v>
      </c>
      <c r="G111" s="1">
        <f xml:space="preserve"> _xlfn.XLOOKUP(  D111, 'ESPN Ranking'!$B$2:$B$544, 'ESPN Ranking'!$A$2:$A$544 )</f>
        <v>92</v>
      </c>
      <c r="H111" s="1">
        <f>_xlfn.XLOOKUP( C111, 'FP Ranking'!$A$2:$A$544, 'FP Ranking'!$B$2:$B$544 )</f>
        <v>7</v>
      </c>
      <c r="I111" s="1" t="str">
        <f>_xlfn.XLOOKUP( C111, 'FP Ranking'!$A$2:$A$544, 'FP Ranking'!$D$2:$D$544 )</f>
        <v>NE</v>
      </c>
      <c r="J111" s="1" t="str" cm="1">
        <f t="array" ref="J111">LEFT(_xlfn.XLOOKUP(C111, 'FP Ranking'!$A$2:$A$544, 'FP Ranking'!$E$2:$E$544), MIN(SEARCH({1,2,3,4,5,6,7,8,9,0}, _xlfn.XLOOKUP(C111, 'FP Ranking'!$A$2:$A$544, 'FP Ranking'!$E$2:$E$544)&amp;{1,2,3,4,5,6,7,8,9,0}))-1)</f>
        <v>RB</v>
      </c>
      <c r="K111" s="1">
        <f t="shared" si="13"/>
        <v>-18</v>
      </c>
      <c r="L111" s="9">
        <f t="shared" si="14"/>
        <v>-2.9917155068531629E-2</v>
      </c>
      <c r="M111" s="2">
        <f t="shared" si="15"/>
        <v>0.08</v>
      </c>
    </row>
    <row r="112" spans="1:13" ht="13" x14ac:dyDescent="0.15">
      <c r="A112" s="7"/>
      <c r="B112" s="1">
        <f t="shared" si="12"/>
        <v>10</v>
      </c>
      <c r="C112" s="1">
        <v>111</v>
      </c>
      <c r="D112" s="1" t="str">
        <f>_xlfn.XLOOKUP( C112, 'FP Ranking'!$A$2:$A$544, 'FP Ranking'!$C$2:$C$544 )</f>
        <v>Jordan Love</v>
      </c>
      <c r="E112" s="8" t="b">
        <v>0</v>
      </c>
      <c r="F112" s="8" t="b">
        <v>0</v>
      </c>
      <c r="G112" s="1">
        <f xml:space="preserve"> _xlfn.XLOOKUP(  D112, 'ESPN Ranking'!$B$2:$B$544, 'ESPN Ranking'!$A$2:$A$544 )</f>
        <v>122</v>
      </c>
      <c r="H112" s="1">
        <f>_xlfn.XLOOKUP( C112, 'FP Ranking'!$A$2:$A$544, 'FP Ranking'!$B$2:$B$544 )</f>
        <v>7</v>
      </c>
      <c r="I112" s="1" t="str">
        <f>_xlfn.XLOOKUP( C112, 'FP Ranking'!$A$2:$A$544, 'FP Ranking'!$D$2:$D$544 )</f>
        <v>GB</v>
      </c>
      <c r="J112" s="1" t="str" cm="1">
        <f t="array" ref="J112">LEFT(_xlfn.XLOOKUP(C112, 'FP Ranking'!$A$2:$A$544, 'FP Ranking'!$E$2:$E$544), MIN(SEARCH({1,2,3,4,5,6,7,8,9,0}, _xlfn.XLOOKUP(C112, 'FP Ranking'!$A$2:$A$544, 'FP Ranking'!$E$2:$E$544)&amp;{1,2,3,4,5,6,7,8,9,0}))-1)</f>
        <v>QB</v>
      </c>
      <c r="K112" s="1">
        <f t="shared" si="13"/>
        <v>11</v>
      </c>
      <c r="L112" s="9">
        <f t="shared" si="14"/>
        <v>1.824757381873315E-2</v>
      </c>
      <c r="M112" s="2">
        <f t="shared" si="15"/>
        <v>0.748</v>
      </c>
    </row>
    <row r="113" spans="1:13" ht="13" x14ac:dyDescent="0.15">
      <c r="A113" s="7"/>
      <c r="B113" s="1">
        <f t="shared" si="12"/>
        <v>10</v>
      </c>
      <c r="C113" s="1">
        <v>112</v>
      </c>
      <c r="D113" s="1" t="str">
        <f>_xlfn.XLOOKUP( C113, 'FP Ranking'!$A$2:$A$544, 'FP Ranking'!$C$2:$C$544 )</f>
        <v>Jayden Reed</v>
      </c>
      <c r="E113" s="8" t="b">
        <v>0</v>
      </c>
      <c r="F113" s="8" t="b">
        <v>0</v>
      </c>
      <c r="G113" s="1">
        <f xml:space="preserve"> _xlfn.XLOOKUP(  D113, 'ESPN Ranking'!$B$2:$B$544, 'ESPN Ranking'!$A$2:$A$544 )</f>
        <v>108</v>
      </c>
      <c r="H113" s="1">
        <f>_xlfn.XLOOKUP( C113, 'FP Ranking'!$A$2:$A$544, 'FP Ranking'!$B$2:$B$544 )</f>
        <v>7</v>
      </c>
      <c r="I113" s="1" t="str">
        <f>_xlfn.XLOOKUP( C113, 'FP Ranking'!$A$2:$A$544, 'FP Ranking'!$D$2:$D$544 )</f>
        <v>GB</v>
      </c>
      <c r="J113" s="1" t="str" cm="1">
        <f t="array" ref="J113">LEFT(_xlfn.XLOOKUP(C113, 'FP Ranking'!$A$2:$A$544, 'FP Ranking'!$E$2:$E$544), MIN(SEARCH({1,2,3,4,5,6,7,8,9,0}, _xlfn.XLOOKUP(C113, 'FP Ranking'!$A$2:$A$544, 'FP Ranking'!$E$2:$E$544)&amp;{1,2,3,4,5,6,7,8,9,0}))-1)</f>
        <v>WR</v>
      </c>
      <c r="K113" s="1">
        <f t="shared" si="13"/>
        <v>-4</v>
      </c>
      <c r="L113" s="9">
        <f t="shared" si="14"/>
        <v>-6.6228690209313877E-3</v>
      </c>
      <c r="M113" s="2">
        <f t="shared" si="15"/>
        <v>0.32100000000000001</v>
      </c>
    </row>
    <row r="114" spans="1:13" ht="13" x14ac:dyDescent="0.15">
      <c r="A114" s="7"/>
      <c r="B114" s="1">
        <f t="shared" si="12"/>
        <v>10</v>
      </c>
      <c r="C114" s="1">
        <v>113</v>
      </c>
      <c r="D114" s="1" t="str">
        <f>_xlfn.XLOOKUP( C114, 'FP Ranking'!$A$2:$A$544, 'FP Ranking'!$C$2:$C$544 )</f>
        <v>Cooper Kupp</v>
      </c>
      <c r="E114" s="8" t="b">
        <v>0</v>
      </c>
      <c r="F114" s="8" t="b">
        <v>0</v>
      </c>
      <c r="G114" s="1">
        <f xml:space="preserve"> _xlfn.XLOOKUP(  D114, 'ESPN Ranking'!$B$2:$B$544, 'ESPN Ranking'!$A$2:$A$544 )</f>
        <v>96</v>
      </c>
      <c r="H114" s="1">
        <f>_xlfn.XLOOKUP( C114, 'FP Ranking'!$A$2:$A$544, 'FP Ranking'!$B$2:$B$544 )</f>
        <v>7</v>
      </c>
      <c r="I114" s="1" t="str">
        <f>_xlfn.XLOOKUP( C114, 'FP Ranking'!$A$2:$A$544, 'FP Ranking'!$D$2:$D$544 )</f>
        <v>SEA</v>
      </c>
      <c r="J114" s="1" t="str" cm="1">
        <f t="array" ref="J114">LEFT(_xlfn.XLOOKUP(C114, 'FP Ranking'!$A$2:$A$544, 'FP Ranking'!$E$2:$E$544), MIN(SEARCH({1,2,3,4,5,6,7,8,9,0}, _xlfn.XLOOKUP(C114, 'FP Ranking'!$A$2:$A$544, 'FP Ranking'!$E$2:$E$544)&amp;{1,2,3,4,5,6,7,8,9,0}))-1)</f>
        <v>WR</v>
      </c>
      <c r="K114" s="1">
        <f t="shared" si="13"/>
        <v>-17</v>
      </c>
      <c r="L114" s="9">
        <f t="shared" si="14"/>
        <v>-2.8094267932554737E-2</v>
      </c>
      <c r="M114" s="2">
        <f t="shared" si="15"/>
        <v>9.5000000000000001E-2</v>
      </c>
    </row>
    <row r="115" spans="1:13" ht="13" x14ac:dyDescent="0.15">
      <c r="A115" s="7"/>
      <c r="B115" s="1">
        <f t="shared" si="12"/>
        <v>10</v>
      </c>
      <c r="C115" s="1">
        <v>114</v>
      </c>
      <c r="D115" s="1" t="str">
        <f>_xlfn.XLOOKUP( C115, 'FP Ranking'!$A$2:$A$544, 'FP Ranking'!$C$2:$C$544 )</f>
        <v>Trevor Lawrence</v>
      </c>
      <c r="E115" s="8" t="b">
        <v>0</v>
      </c>
      <c r="F115" s="8" t="b">
        <v>0</v>
      </c>
      <c r="G115" s="1">
        <f xml:space="preserve"> _xlfn.XLOOKUP(  D115, 'ESPN Ranking'!$B$2:$B$544, 'ESPN Ranking'!$A$2:$A$544 )</f>
        <v>198</v>
      </c>
      <c r="H115" s="1">
        <f>_xlfn.XLOOKUP( C115, 'FP Ranking'!$A$2:$A$544, 'FP Ranking'!$B$2:$B$544 )</f>
        <v>7</v>
      </c>
      <c r="I115" s="1" t="str">
        <f>_xlfn.XLOOKUP( C115, 'FP Ranking'!$A$2:$A$544, 'FP Ranking'!$D$2:$D$544 )</f>
        <v>JAC</v>
      </c>
      <c r="J115" s="1" t="str" cm="1">
        <f t="array" ref="J115">LEFT(_xlfn.XLOOKUP(C115, 'FP Ranking'!$A$2:$A$544, 'FP Ranking'!$E$2:$E$544), MIN(SEARCH({1,2,3,4,5,6,7,8,9,0}, _xlfn.XLOOKUP(C115, 'FP Ranking'!$A$2:$A$544, 'FP Ranking'!$E$2:$E$544)&amp;{1,2,3,4,5,6,7,8,9,0}))-1)</f>
        <v>QB</v>
      </c>
      <c r="K115" s="1">
        <f t="shared" si="13"/>
        <v>84</v>
      </c>
      <c r="L115" s="9">
        <f t="shared" si="14"/>
        <v>0.13856049469854023</v>
      </c>
      <c r="M115" s="2">
        <f t="shared" si="15"/>
        <v>0.98399999999999999</v>
      </c>
    </row>
    <row r="116" spans="1:13" ht="13" x14ac:dyDescent="0.15">
      <c r="A116" s="7"/>
      <c r="B116" s="1">
        <f t="shared" si="12"/>
        <v>10</v>
      </c>
      <c r="C116" s="1">
        <v>115</v>
      </c>
      <c r="D116" s="1" t="str">
        <f>_xlfn.XLOOKUP( C116, 'FP Ranking'!$A$2:$A$544, 'FP Ranking'!$C$2:$C$544 )</f>
        <v>Chris Godwin Jr.</v>
      </c>
      <c r="E116" s="8" t="b">
        <v>0</v>
      </c>
      <c r="F116" s="8" t="b">
        <v>0</v>
      </c>
      <c r="G116" s="1">
        <f xml:space="preserve"> _xlfn.XLOOKUP(  D116, 'ESPN Ranking'!$B$2:$B$544, 'ESPN Ranking'!$A$2:$A$544 )</f>
        <v>102</v>
      </c>
      <c r="H116" s="1">
        <f>_xlfn.XLOOKUP( C116, 'FP Ranking'!$A$2:$A$544, 'FP Ranking'!$B$2:$B$544 )</f>
        <v>7</v>
      </c>
      <c r="I116" s="1" t="str">
        <f>_xlfn.XLOOKUP( C116, 'FP Ranking'!$A$2:$A$544, 'FP Ranking'!$D$2:$D$544 )</f>
        <v>TB</v>
      </c>
      <c r="J116" s="1" t="str" cm="1">
        <f t="array" ref="J116">LEFT(_xlfn.XLOOKUP(C116, 'FP Ranking'!$A$2:$A$544, 'FP Ranking'!$E$2:$E$544), MIN(SEARCH({1,2,3,4,5,6,7,8,9,0}, _xlfn.XLOOKUP(C116, 'FP Ranking'!$A$2:$A$544, 'FP Ranking'!$E$2:$E$544)&amp;{1,2,3,4,5,6,7,8,9,0}))-1)</f>
        <v>WR</v>
      </c>
      <c r="K116" s="1">
        <f t="shared" si="13"/>
        <v>-13</v>
      </c>
      <c r="L116" s="9">
        <f t="shared" si="14"/>
        <v>-2.1404415754000188E-2</v>
      </c>
      <c r="M116" s="2">
        <f t="shared" si="15"/>
        <v>0.14000000000000001</v>
      </c>
    </row>
    <row r="117" spans="1:13" ht="13" x14ac:dyDescent="0.15">
      <c r="A117" s="7"/>
      <c r="B117" s="1">
        <f t="shared" si="12"/>
        <v>10</v>
      </c>
      <c r="C117" s="1">
        <v>116</v>
      </c>
      <c r="D117" s="1" t="str">
        <f>_xlfn.XLOOKUP( C117, 'FP Ranking'!$A$2:$A$544, 'FP Ranking'!$C$2:$C$544 )</f>
        <v>Cam Skattebo</v>
      </c>
      <c r="E117" s="8" t="b">
        <v>0</v>
      </c>
      <c r="F117" s="8" t="b">
        <v>0</v>
      </c>
      <c r="G117" s="1">
        <f xml:space="preserve"> _xlfn.XLOOKUP(  D117, 'ESPN Ranking'!$B$2:$B$544, 'ESPN Ranking'!$A$2:$A$544 )</f>
        <v>95</v>
      </c>
      <c r="H117" s="1">
        <f>_xlfn.XLOOKUP( C117, 'FP Ranking'!$A$2:$A$544, 'FP Ranking'!$B$2:$B$544 )</f>
        <v>7</v>
      </c>
      <c r="I117" s="1" t="str">
        <f>_xlfn.XLOOKUP( C117, 'FP Ranking'!$A$2:$A$544, 'FP Ranking'!$D$2:$D$544 )</f>
        <v>NYG</v>
      </c>
      <c r="J117" s="1" t="str" cm="1">
        <f t="array" ref="J117">LEFT(_xlfn.XLOOKUP(C117, 'FP Ranking'!$A$2:$A$544, 'FP Ranking'!$E$2:$E$544), MIN(SEARCH({1,2,3,4,5,6,7,8,9,0}, _xlfn.XLOOKUP(C117, 'FP Ranking'!$A$2:$A$544, 'FP Ranking'!$E$2:$E$544)&amp;{1,2,3,4,5,6,7,8,9,0}))-1)</f>
        <v>RB</v>
      </c>
      <c r="K117" s="1">
        <f t="shared" si="13"/>
        <v>-21</v>
      </c>
      <c r="L117" s="9">
        <f t="shared" si="14"/>
        <v>-3.4513387440707338E-2</v>
      </c>
      <c r="M117" s="2">
        <f t="shared" si="15"/>
        <v>5.5E-2</v>
      </c>
    </row>
    <row r="118" spans="1:13" ht="13" x14ac:dyDescent="0.15">
      <c r="A118" s="7"/>
      <c r="B118" s="1">
        <f t="shared" si="12"/>
        <v>10</v>
      </c>
      <c r="C118" s="1">
        <v>117</v>
      </c>
      <c r="D118" s="1" t="str">
        <f>_xlfn.XLOOKUP( C118, 'FP Ranking'!$A$2:$A$544, 'FP Ranking'!$C$2:$C$544 )</f>
        <v>Braelon Allen</v>
      </c>
      <c r="E118" s="8" t="b">
        <v>0</v>
      </c>
      <c r="F118" s="8" t="b">
        <v>0</v>
      </c>
      <c r="G118" s="1">
        <f xml:space="preserve"> _xlfn.XLOOKUP(  D118, 'ESPN Ranking'!$B$2:$B$544, 'ESPN Ranking'!$A$2:$A$544 )</f>
        <v>134</v>
      </c>
      <c r="H118" s="1">
        <f>_xlfn.XLOOKUP( C118, 'FP Ranking'!$A$2:$A$544, 'FP Ranking'!$B$2:$B$544 )</f>
        <v>7</v>
      </c>
      <c r="I118" s="1" t="str">
        <f>_xlfn.XLOOKUP( C118, 'FP Ranking'!$A$2:$A$544, 'FP Ranking'!$D$2:$D$544 )</f>
        <v>NYJ</v>
      </c>
      <c r="J118" s="1" t="str" cm="1">
        <f t="array" ref="J118">LEFT(_xlfn.XLOOKUP(C118, 'FP Ranking'!$A$2:$A$544, 'FP Ranking'!$E$2:$E$544), MIN(SEARCH({1,2,3,4,5,6,7,8,9,0}, _xlfn.XLOOKUP(C118, 'FP Ranking'!$A$2:$A$544, 'FP Ranking'!$E$2:$E$544)&amp;{1,2,3,4,5,6,7,8,9,0}))-1)</f>
        <v>RB</v>
      </c>
      <c r="K118" s="1">
        <f t="shared" si="13"/>
        <v>17</v>
      </c>
      <c r="L118" s="9">
        <f t="shared" si="14"/>
        <v>2.7889048535065821E-2</v>
      </c>
      <c r="M118" s="2">
        <f t="shared" si="15"/>
        <v>0.82899999999999996</v>
      </c>
    </row>
    <row r="119" spans="1:13" ht="13" x14ac:dyDescent="0.15">
      <c r="A119" s="7"/>
      <c r="B119" s="1">
        <f t="shared" si="12"/>
        <v>10</v>
      </c>
      <c r="C119" s="1">
        <v>118</v>
      </c>
      <c r="D119" s="1" t="str">
        <f>_xlfn.XLOOKUP( C119, 'FP Ranking'!$A$2:$A$544, 'FP Ranking'!$C$2:$C$544 )</f>
        <v>Jake Ferguson</v>
      </c>
      <c r="E119" s="8" t="b">
        <v>0</v>
      </c>
      <c r="F119" s="8" t="b">
        <v>0</v>
      </c>
      <c r="G119" s="1">
        <f xml:space="preserve"> _xlfn.XLOOKUP(  D119, 'ESPN Ranking'!$B$2:$B$544, 'ESPN Ranking'!$A$2:$A$544 )</f>
        <v>128</v>
      </c>
      <c r="H119" s="1">
        <f>_xlfn.XLOOKUP( C119, 'FP Ranking'!$A$2:$A$544, 'FP Ranking'!$B$2:$B$544 )</f>
        <v>7</v>
      </c>
      <c r="I119" s="1" t="str">
        <f>_xlfn.XLOOKUP( C119, 'FP Ranking'!$A$2:$A$544, 'FP Ranking'!$D$2:$D$544 )</f>
        <v>DAL</v>
      </c>
      <c r="J119" s="1" t="str" cm="1">
        <f t="array" ref="J119">LEFT(_xlfn.XLOOKUP(C119, 'FP Ranking'!$A$2:$A$544, 'FP Ranking'!$E$2:$E$544), MIN(SEARCH({1,2,3,4,5,6,7,8,9,0}, _xlfn.XLOOKUP(C119, 'FP Ranking'!$A$2:$A$544, 'FP Ranking'!$E$2:$E$544)&amp;{1,2,3,4,5,6,7,8,9,0}))-1)</f>
        <v>TE</v>
      </c>
      <c r="K119" s="1">
        <f t="shared" si="13"/>
        <v>10</v>
      </c>
      <c r="L119" s="9">
        <f t="shared" si="14"/>
        <v>1.637605630004316E-2</v>
      </c>
      <c r="M119" s="2">
        <f t="shared" si="15"/>
        <v>0.72799999999999998</v>
      </c>
    </row>
    <row r="120" spans="1:13" ht="13" x14ac:dyDescent="0.15">
      <c r="A120" s="7"/>
      <c r="B120" s="1">
        <f t="shared" si="12"/>
        <v>10</v>
      </c>
      <c r="C120" s="1">
        <v>119</v>
      </c>
      <c r="D120" s="1" t="str">
        <f>_xlfn.XLOOKUP( C120, 'FP Ranking'!$A$2:$A$544, 'FP Ranking'!$C$2:$C$544 )</f>
        <v>Keon Coleman</v>
      </c>
      <c r="E120" s="8" t="b">
        <v>0</v>
      </c>
      <c r="F120" s="8" t="b">
        <v>0</v>
      </c>
      <c r="G120" s="1">
        <f xml:space="preserve"> _xlfn.XLOOKUP(  D120, 'ESPN Ranking'!$B$2:$B$544, 'ESPN Ranking'!$A$2:$A$544 )</f>
        <v>101</v>
      </c>
      <c r="H120" s="1">
        <f>_xlfn.XLOOKUP( C120, 'FP Ranking'!$A$2:$A$544, 'FP Ranking'!$B$2:$B$544 )</f>
        <v>7</v>
      </c>
      <c r="I120" s="1" t="str">
        <f>_xlfn.XLOOKUP( C120, 'FP Ranking'!$A$2:$A$544, 'FP Ranking'!$D$2:$D$544 )</f>
        <v>BUF</v>
      </c>
      <c r="J120" s="1" t="str" cm="1">
        <f t="array" ref="J120">LEFT(_xlfn.XLOOKUP(C120, 'FP Ranking'!$A$2:$A$544, 'FP Ranking'!$E$2:$E$544), MIN(SEARCH({1,2,3,4,5,6,7,8,9,0}, _xlfn.XLOOKUP(C120, 'FP Ranking'!$A$2:$A$544, 'FP Ranking'!$E$2:$E$544)&amp;{1,2,3,4,5,6,7,8,9,0}))-1)</f>
        <v>WR</v>
      </c>
      <c r="K120" s="1">
        <f t="shared" si="13"/>
        <v>-18</v>
      </c>
      <c r="L120" s="9">
        <f t="shared" si="14"/>
        <v>-2.9424851691464391E-2</v>
      </c>
      <c r="M120" s="2">
        <f t="shared" si="15"/>
        <v>0.09</v>
      </c>
    </row>
    <row r="121" spans="1:13" ht="13" x14ac:dyDescent="0.15">
      <c r="A121" s="7"/>
      <c r="B121" s="1">
        <f t="shared" si="12"/>
        <v>10</v>
      </c>
      <c r="C121" s="1">
        <v>120</v>
      </c>
      <c r="D121" s="1" t="str">
        <f>_xlfn.XLOOKUP( C121, 'FP Ranking'!$A$2:$A$544, 'FP Ranking'!$C$2:$C$544 )</f>
        <v>C.J. Stroud</v>
      </c>
      <c r="E121" s="8" t="b">
        <v>0</v>
      </c>
      <c r="F121" s="8" t="b">
        <v>0</v>
      </c>
      <c r="G121" s="1">
        <f xml:space="preserve"> _xlfn.XLOOKUP(  D121, 'ESPN Ranking'!$B$2:$B$544, 'ESPN Ranking'!$A$2:$A$544 )</f>
        <v>124</v>
      </c>
      <c r="H121" s="1">
        <f>_xlfn.XLOOKUP( C121, 'FP Ranking'!$A$2:$A$544, 'FP Ranking'!$B$2:$B$544 )</f>
        <v>7</v>
      </c>
      <c r="I121" s="1" t="str">
        <f>_xlfn.XLOOKUP( C121, 'FP Ranking'!$A$2:$A$544, 'FP Ranking'!$D$2:$D$544 )</f>
        <v>HOU</v>
      </c>
      <c r="J121" s="1" t="str" cm="1">
        <f t="array" ref="J121">LEFT(_xlfn.XLOOKUP(C121, 'FP Ranking'!$A$2:$A$544, 'FP Ranking'!$E$2:$E$544), MIN(SEARCH({1,2,3,4,5,6,7,8,9,0}, _xlfn.XLOOKUP(C121, 'FP Ranking'!$A$2:$A$544, 'FP Ranking'!$E$2:$E$544)&amp;{1,2,3,4,5,6,7,8,9,0}))-1)</f>
        <v>QB</v>
      </c>
      <c r="K121" s="1">
        <f t="shared" si="13"/>
        <v>4</v>
      </c>
      <c r="L121" s="9">
        <f t="shared" si="14"/>
        <v>6.5274264017509097E-3</v>
      </c>
      <c r="M121" s="2">
        <f t="shared" si="15"/>
        <v>0.59199999999999997</v>
      </c>
    </row>
    <row r="122" spans="1:13" ht="13" x14ac:dyDescent="0.15">
      <c r="A122" s="7"/>
      <c r="B122" s="1">
        <f t="shared" si="12"/>
        <v>11</v>
      </c>
      <c r="C122" s="1">
        <v>121</v>
      </c>
      <c r="D122" s="1" t="str">
        <f>_xlfn.XLOOKUP( C122, 'FP Ranking'!$A$2:$A$544, 'FP Ranking'!$C$2:$C$544 )</f>
        <v>Darnell Mooney</v>
      </c>
      <c r="E122" s="8" t="b">
        <v>0</v>
      </c>
      <c r="F122" s="8" t="b">
        <v>0</v>
      </c>
      <c r="G122" s="1">
        <f xml:space="preserve"> _xlfn.XLOOKUP(  D122, 'ESPN Ranking'!$B$2:$B$544, 'ESPN Ranking'!$A$2:$A$544 )</f>
        <v>110</v>
      </c>
      <c r="H122" s="1">
        <f>_xlfn.XLOOKUP( C122, 'FP Ranking'!$A$2:$A$544, 'FP Ranking'!$B$2:$B$544 )</f>
        <v>7</v>
      </c>
      <c r="I122" s="1" t="str">
        <f>_xlfn.XLOOKUP( C122, 'FP Ranking'!$A$2:$A$544, 'FP Ranking'!$D$2:$D$544 )</f>
        <v>ATL</v>
      </c>
      <c r="J122" s="1" t="str" cm="1">
        <f t="array" ref="J122">LEFT(_xlfn.XLOOKUP(C122, 'FP Ranking'!$A$2:$A$544, 'FP Ranking'!$E$2:$E$544), MIN(SEARCH({1,2,3,4,5,6,7,8,9,0}, _xlfn.XLOOKUP(C122, 'FP Ranking'!$A$2:$A$544, 'FP Ranking'!$E$2:$E$544)&amp;{1,2,3,4,5,6,7,8,9,0}))-1)</f>
        <v>WR</v>
      </c>
      <c r="K122" s="1">
        <f t="shared" si="13"/>
        <v>-11</v>
      </c>
      <c r="L122" s="9">
        <f t="shared" si="14"/>
        <v>-1.7919360569010584E-2</v>
      </c>
      <c r="M122" s="2">
        <f t="shared" si="15"/>
        <v>0.18</v>
      </c>
    </row>
    <row r="123" spans="1:13" ht="13" x14ac:dyDescent="0.15">
      <c r="A123" s="7"/>
      <c r="B123" s="1">
        <f t="shared" si="12"/>
        <v>11</v>
      </c>
      <c r="C123" s="1">
        <v>122</v>
      </c>
      <c r="D123" s="1" t="str">
        <f>_xlfn.XLOOKUP( C123, 'FP Ranking'!$A$2:$A$544, 'FP Ranking'!$C$2:$C$544 )</f>
        <v>J.J. McCarthy</v>
      </c>
      <c r="E123" s="8" t="b">
        <v>0</v>
      </c>
      <c r="F123" s="8" t="b">
        <v>0</v>
      </c>
      <c r="G123" s="1">
        <f xml:space="preserve"> _xlfn.XLOOKUP(  D123, 'ESPN Ranking'!$B$2:$B$544, 'ESPN Ranking'!$A$2:$A$544 )</f>
        <v>123</v>
      </c>
      <c r="H123" s="1">
        <f>_xlfn.XLOOKUP( C123, 'FP Ranking'!$A$2:$A$544, 'FP Ranking'!$B$2:$B$544 )</f>
        <v>7</v>
      </c>
      <c r="I123" s="1" t="str">
        <f>_xlfn.XLOOKUP( C123, 'FP Ranking'!$A$2:$A$544, 'FP Ranking'!$D$2:$D$544 )</f>
        <v>MIN</v>
      </c>
      <c r="J123" s="1" t="str" cm="1">
        <f t="array" ref="J123">LEFT(_xlfn.XLOOKUP(C123, 'FP Ranking'!$A$2:$A$544, 'FP Ranking'!$E$2:$E$544), MIN(SEARCH({1,2,3,4,5,6,7,8,9,0}, _xlfn.XLOOKUP(C123, 'FP Ranking'!$A$2:$A$544, 'FP Ranking'!$E$2:$E$544)&amp;{1,2,3,4,5,6,7,8,9,0}))-1)</f>
        <v>QB</v>
      </c>
      <c r="K123" s="1">
        <f t="shared" si="13"/>
        <v>1</v>
      </c>
      <c r="L123" s="9">
        <f t="shared" si="14"/>
        <v>1.6262418351736818E-3</v>
      </c>
      <c r="M123" s="2">
        <f t="shared" si="15"/>
        <v>0.502</v>
      </c>
    </row>
    <row r="124" spans="1:13" ht="13" x14ac:dyDescent="0.15">
      <c r="A124" s="7"/>
      <c r="B124" s="1">
        <f t="shared" si="12"/>
        <v>11</v>
      </c>
      <c r="C124" s="1">
        <v>123</v>
      </c>
      <c r="D124" s="1" t="str">
        <f>_xlfn.XLOOKUP( C124, 'FP Ranking'!$A$2:$A$544, 'FP Ranking'!$C$2:$C$544 )</f>
        <v>Jacory Croskey-Merritt</v>
      </c>
      <c r="E124" s="8" t="b">
        <v>0</v>
      </c>
      <c r="F124" s="8" t="b">
        <v>0</v>
      </c>
      <c r="G124" s="1">
        <f xml:space="preserve"> _xlfn.XLOOKUP(  D124, 'ESPN Ranking'!$B$2:$B$544, 'ESPN Ranking'!$A$2:$A$544 )</f>
        <v>82</v>
      </c>
      <c r="H124" s="1">
        <f>_xlfn.XLOOKUP( C124, 'FP Ranking'!$A$2:$A$544, 'FP Ranking'!$B$2:$B$544 )</f>
        <v>7</v>
      </c>
      <c r="I124" s="1" t="str">
        <f>_xlfn.XLOOKUP( C124, 'FP Ranking'!$A$2:$A$544, 'FP Ranking'!$D$2:$D$544 )</f>
        <v>WAS</v>
      </c>
      <c r="J124" s="1" t="str" cm="1">
        <f t="array" ref="J124">LEFT(_xlfn.XLOOKUP(C124, 'FP Ranking'!$A$2:$A$544, 'FP Ranking'!$E$2:$E$544), MIN(SEARCH({1,2,3,4,5,6,7,8,9,0}, _xlfn.XLOOKUP(C124, 'FP Ranking'!$A$2:$A$544, 'FP Ranking'!$E$2:$E$544)&amp;{1,2,3,4,5,6,7,8,9,0}))-1)</f>
        <v>RB</v>
      </c>
      <c r="K124" s="1">
        <f t="shared" si="13"/>
        <v>-41</v>
      </c>
      <c r="L124" s="9">
        <f t="shared" si="14"/>
        <v>-6.6562807312732494E-2</v>
      </c>
      <c r="M124" s="2">
        <f t="shared" si="15"/>
        <v>5.0000000000000001E-3</v>
      </c>
    </row>
    <row r="125" spans="1:13" ht="13" x14ac:dyDescent="0.15">
      <c r="A125" s="7"/>
      <c r="B125" s="1">
        <f t="shared" si="12"/>
        <v>11</v>
      </c>
      <c r="C125" s="1">
        <v>124</v>
      </c>
      <c r="D125" s="1" t="str">
        <f>_xlfn.XLOOKUP( C125, 'FP Ranking'!$A$2:$A$544, 'FP Ranking'!$C$2:$C$544 )</f>
        <v>Dalton Kincaid</v>
      </c>
      <c r="E125" s="8" t="b">
        <v>0</v>
      </c>
      <c r="F125" s="8" t="b">
        <v>0</v>
      </c>
      <c r="G125" s="1">
        <f xml:space="preserve"> _xlfn.XLOOKUP(  D125, 'ESPN Ranking'!$B$2:$B$544, 'ESPN Ranking'!$A$2:$A$544 )</f>
        <v>129</v>
      </c>
      <c r="H125" s="1">
        <f>_xlfn.XLOOKUP( C125, 'FP Ranking'!$A$2:$A$544, 'FP Ranking'!$B$2:$B$544 )</f>
        <v>7</v>
      </c>
      <c r="I125" s="1" t="str">
        <f>_xlfn.XLOOKUP( C125, 'FP Ranking'!$A$2:$A$544, 'FP Ranking'!$D$2:$D$544 )</f>
        <v>BUF</v>
      </c>
      <c r="J125" s="1" t="str" cm="1">
        <f t="array" ref="J125">LEFT(_xlfn.XLOOKUP(C125, 'FP Ranking'!$A$2:$A$544, 'FP Ranking'!$E$2:$E$544), MIN(SEARCH({1,2,3,4,5,6,7,8,9,0}, _xlfn.XLOOKUP(C125, 'FP Ranking'!$A$2:$A$544, 'FP Ranking'!$E$2:$E$544)&amp;{1,2,3,4,5,6,7,8,9,0}))-1)</f>
        <v>TE</v>
      </c>
      <c r="K125" s="1">
        <f t="shared" si="13"/>
        <v>5</v>
      </c>
      <c r="L125" s="9">
        <f t="shared" si="14"/>
        <v>8.1037797208215398E-3</v>
      </c>
      <c r="M125" s="2">
        <f t="shared" si="15"/>
        <v>0.63300000000000001</v>
      </c>
    </row>
    <row r="126" spans="1:13" ht="13" x14ac:dyDescent="0.15">
      <c r="A126" s="7"/>
      <c r="B126" s="1">
        <f t="shared" si="12"/>
        <v>11</v>
      </c>
      <c r="C126" s="1">
        <v>125</v>
      </c>
      <c r="D126" s="1" t="str">
        <f>_xlfn.XLOOKUP( C126, 'FP Ranking'!$A$2:$A$544, 'FP Ranking'!$C$2:$C$544 )</f>
        <v>Colston Loveland</v>
      </c>
      <c r="E126" s="8" t="b">
        <v>0</v>
      </c>
      <c r="F126" s="8" t="b">
        <v>0</v>
      </c>
      <c r="G126" s="1">
        <f xml:space="preserve"> _xlfn.XLOOKUP(  D126, 'ESPN Ranking'!$B$2:$B$544, 'ESPN Ranking'!$A$2:$A$544 )</f>
        <v>125</v>
      </c>
      <c r="H126" s="1">
        <f>_xlfn.XLOOKUP( C126, 'FP Ranking'!$A$2:$A$544, 'FP Ranking'!$B$2:$B$544 )</f>
        <v>7</v>
      </c>
      <c r="I126" s="1" t="str">
        <f>_xlfn.XLOOKUP( C126, 'FP Ranking'!$A$2:$A$544, 'FP Ranking'!$D$2:$D$544 )</f>
        <v>CHI</v>
      </c>
      <c r="J126" s="1" t="str" cm="1">
        <f t="array" ref="J126">LEFT(_xlfn.XLOOKUP(C126, 'FP Ranking'!$A$2:$A$544, 'FP Ranking'!$E$2:$E$544), MIN(SEARCH({1,2,3,4,5,6,7,8,9,0}, _xlfn.XLOOKUP(C126, 'FP Ranking'!$A$2:$A$544, 'FP Ranking'!$E$2:$E$544)&amp;{1,2,3,4,5,6,7,8,9,0}))-1)</f>
        <v>TE</v>
      </c>
      <c r="K126" s="1">
        <f t="shared" si="13"/>
        <v>0</v>
      </c>
      <c r="L126" s="9">
        <f t="shared" si="14"/>
        <v>0</v>
      </c>
      <c r="M126" s="2">
        <f t="shared" si="15"/>
        <v>0.437</v>
      </c>
    </row>
    <row r="127" spans="1:13" ht="13" x14ac:dyDescent="0.15">
      <c r="A127" s="7"/>
      <c r="B127" s="1">
        <f t="shared" si="12"/>
        <v>11</v>
      </c>
      <c r="C127" s="1">
        <v>126</v>
      </c>
      <c r="D127" s="1" t="str">
        <f>_xlfn.XLOOKUP( C127, 'FP Ranking'!$A$2:$A$544, 'FP Ranking'!$C$2:$C$544 )</f>
        <v>Dallas Goedert</v>
      </c>
      <c r="E127" s="8" t="b">
        <v>0</v>
      </c>
      <c r="F127" s="8" t="b">
        <v>0</v>
      </c>
      <c r="G127" s="1">
        <f xml:space="preserve"> _xlfn.XLOOKUP(  D127, 'ESPN Ranking'!$B$2:$B$544, 'ESPN Ranking'!$A$2:$A$544 )</f>
        <v>127</v>
      </c>
      <c r="H127" s="1">
        <f>_xlfn.XLOOKUP( C127, 'FP Ranking'!$A$2:$A$544, 'FP Ranking'!$B$2:$B$544 )</f>
        <v>7</v>
      </c>
      <c r="I127" s="1" t="str">
        <f>_xlfn.XLOOKUP( C127, 'FP Ranking'!$A$2:$A$544, 'FP Ranking'!$D$2:$D$544 )</f>
        <v>PHI</v>
      </c>
      <c r="J127" s="1" t="str" cm="1">
        <f t="array" ref="J127">LEFT(_xlfn.XLOOKUP(C127, 'FP Ranking'!$A$2:$A$544, 'FP Ranking'!$E$2:$E$544), MIN(SEARCH({1,2,3,4,5,6,7,8,9,0}, _xlfn.XLOOKUP(C127, 'FP Ranking'!$A$2:$A$544, 'FP Ranking'!$E$2:$E$544)&amp;{1,2,3,4,5,6,7,8,9,0}))-1)</f>
        <v>TE</v>
      </c>
      <c r="K127" s="1">
        <f t="shared" si="13"/>
        <v>1</v>
      </c>
      <c r="L127" s="9">
        <f t="shared" si="14"/>
        <v>1.6153938397947037E-3</v>
      </c>
      <c r="M127" s="2">
        <f t="shared" si="15"/>
        <v>0.497</v>
      </c>
    </row>
    <row r="128" spans="1:13" ht="13" x14ac:dyDescent="0.15">
      <c r="A128" s="7"/>
      <c r="B128" s="1">
        <f t="shared" si="12"/>
        <v>11</v>
      </c>
      <c r="C128" s="1">
        <v>127</v>
      </c>
      <c r="D128" s="1" t="str">
        <f>_xlfn.XLOOKUP( C128, 'FP Ranking'!$A$2:$A$544, 'FP Ranking'!$C$2:$C$544 )</f>
        <v>Nick Chubb</v>
      </c>
      <c r="E128" s="8" t="b">
        <v>0</v>
      </c>
      <c r="F128" s="8" t="b">
        <v>0</v>
      </c>
      <c r="G128" s="1">
        <f xml:space="preserve"> _xlfn.XLOOKUP(  D128, 'ESPN Ranking'!$B$2:$B$544, 'ESPN Ranking'!$A$2:$A$544 )</f>
        <v>119</v>
      </c>
      <c r="H128" s="1">
        <f>_xlfn.XLOOKUP( C128, 'FP Ranking'!$A$2:$A$544, 'FP Ranking'!$B$2:$B$544 )</f>
        <v>7</v>
      </c>
      <c r="I128" s="1" t="str">
        <f>_xlfn.XLOOKUP( C128, 'FP Ranking'!$A$2:$A$544, 'FP Ranking'!$D$2:$D$544 )</f>
        <v>HOU</v>
      </c>
      <c r="J128" s="1" t="str" cm="1">
        <f t="array" ref="J128">LEFT(_xlfn.XLOOKUP(C128, 'FP Ranking'!$A$2:$A$544, 'FP Ranking'!$E$2:$E$544), MIN(SEARCH({1,2,3,4,5,6,7,8,9,0}, _xlfn.XLOOKUP(C128, 'FP Ranking'!$A$2:$A$544, 'FP Ranking'!$E$2:$E$544)&amp;{1,2,3,4,5,6,7,8,9,0}))-1)</f>
        <v>RB</v>
      </c>
      <c r="K128" s="1">
        <f t="shared" si="13"/>
        <v>-8</v>
      </c>
      <c r="L128" s="9">
        <f t="shared" si="14"/>
        <v>-1.2902061560485987E-2</v>
      </c>
      <c r="M128" s="2">
        <f t="shared" si="15"/>
        <v>0.216</v>
      </c>
    </row>
    <row r="129" spans="1:13" ht="13" x14ac:dyDescent="0.15">
      <c r="A129" s="7"/>
      <c r="B129" s="1">
        <f t="shared" si="12"/>
        <v>11</v>
      </c>
      <c r="C129" s="1">
        <v>128</v>
      </c>
      <c r="D129" s="1" t="str">
        <f>_xlfn.XLOOKUP( C129, 'FP Ranking'!$A$2:$A$544, 'FP Ranking'!$C$2:$C$544 )</f>
        <v>Rashid Shaheed</v>
      </c>
      <c r="E129" s="8" t="b">
        <v>0</v>
      </c>
      <c r="F129" s="8" t="b">
        <v>0</v>
      </c>
      <c r="G129" s="1">
        <f xml:space="preserve"> _xlfn.XLOOKUP(  D129, 'ESPN Ranking'!$B$2:$B$544, 'ESPN Ranking'!$A$2:$A$544 )</f>
        <v>111</v>
      </c>
      <c r="H129" s="1">
        <f>_xlfn.XLOOKUP( C129, 'FP Ranking'!$A$2:$A$544, 'FP Ranking'!$B$2:$B$544 )</f>
        <v>7</v>
      </c>
      <c r="I129" s="1" t="str">
        <f>_xlfn.XLOOKUP( C129, 'FP Ranking'!$A$2:$A$544, 'FP Ranking'!$D$2:$D$544 )</f>
        <v>NO</v>
      </c>
      <c r="J129" s="1" t="str" cm="1">
        <f t="array" ref="J129">LEFT(_xlfn.XLOOKUP(C129, 'FP Ranking'!$A$2:$A$544, 'FP Ranking'!$E$2:$E$544), MIN(SEARCH({1,2,3,4,5,6,7,8,9,0}, _xlfn.XLOOKUP(C129, 'FP Ranking'!$A$2:$A$544, 'FP Ranking'!$E$2:$E$544)&amp;{1,2,3,4,5,6,7,8,9,0}))-1)</f>
        <v>WR</v>
      </c>
      <c r="K129" s="1">
        <f t="shared" si="13"/>
        <v>-17</v>
      </c>
      <c r="L129" s="9">
        <f t="shared" si="14"/>
        <v>-2.7372562159723637E-2</v>
      </c>
      <c r="M129" s="2">
        <f t="shared" si="15"/>
        <v>0.105</v>
      </c>
    </row>
    <row r="130" spans="1:13" ht="13" x14ac:dyDescent="0.15">
      <c r="A130" s="7"/>
      <c r="B130" s="1">
        <f t="shared" ref="B130:B161" si="16">ROUNDUP( $C130 / 12,0)</f>
        <v>11</v>
      </c>
      <c r="C130" s="1">
        <v>129</v>
      </c>
      <c r="D130" s="1" t="str">
        <f>_xlfn.XLOOKUP( C130, 'FP Ranking'!$A$2:$A$544, 'FP Ranking'!$C$2:$C$544 )</f>
        <v>Najee Harris</v>
      </c>
      <c r="E130" s="8" t="b">
        <v>0</v>
      </c>
      <c r="F130" s="8" t="b">
        <v>0</v>
      </c>
      <c r="G130" s="1">
        <f xml:space="preserve"> _xlfn.XLOOKUP(  D130, 'ESPN Ranking'!$B$2:$B$544, 'ESPN Ranking'!$A$2:$A$544 )</f>
        <v>135</v>
      </c>
      <c r="H130" s="1">
        <f>_xlfn.XLOOKUP( C130, 'FP Ranking'!$A$2:$A$544, 'FP Ranking'!$B$2:$B$544 )</f>
        <v>7</v>
      </c>
      <c r="I130" s="1" t="str">
        <f>_xlfn.XLOOKUP( C130, 'FP Ranking'!$A$2:$A$544, 'FP Ranking'!$D$2:$D$544 )</f>
        <v>LAC</v>
      </c>
      <c r="J130" s="1" t="str" cm="1">
        <f t="array" ref="J130">LEFT(_xlfn.XLOOKUP(C130, 'FP Ranking'!$A$2:$A$544, 'FP Ranking'!$E$2:$E$544), MIN(SEARCH({1,2,3,4,5,6,7,8,9,0}, _xlfn.XLOOKUP(C130, 'FP Ranking'!$A$2:$A$544, 'FP Ranking'!$E$2:$E$544)&amp;{1,2,3,4,5,6,7,8,9,0}))-1)</f>
        <v>RB</v>
      </c>
      <c r="K130" s="1">
        <f t="shared" ref="K130:K161" si="17">G130 - C130</f>
        <v>6</v>
      </c>
      <c r="L130" s="9">
        <f t="shared" ref="L130:L161" si="18">( K130 / -LN( 1 / ( C130^128 + 1 ) ) )</f>
        <v>9.645434041431266E-3</v>
      </c>
      <c r="M130" s="2">
        <f t="shared" ref="M130:M161" si="19">PERCENTRANK( $L$2:$L$251, L130 )</f>
        <v>0.66300000000000003</v>
      </c>
    </row>
    <row r="131" spans="1:13" ht="13" x14ac:dyDescent="0.15">
      <c r="A131" s="7"/>
      <c r="B131" s="1">
        <f t="shared" si="16"/>
        <v>11</v>
      </c>
      <c r="C131" s="1">
        <v>130</v>
      </c>
      <c r="D131" s="1" t="str">
        <f>_xlfn.XLOOKUP( C131, 'FP Ranking'!$A$2:$A$544, 'FP Ranking'!$C$2:$C$544 )</f>
        <v>Christian Kirk</v>
      </c>
      <c r="E131" s="8" t="b">
        <v>0</v>
      </c>
      <c r="F131" s="8" t="b">
        <v>0</v>
      </c>
      <c r="G131" s="1">
        <f xml:space="preserve"> _xlfn.XLOOKUP(  D131, 'ESPN Ranking'!$B$2:$B$544, 'ESPN Ranking'!$A$2:$A$544 )</f>
        <v>154</v>
      </c>
      <c r="H131" s="1">
        <f>_xlfn.XLOOKUP( C131, 'FP Ranking'!$A$2:$A$544, 'FP Ranking'!$B$2:$B$544 )</f>
        <v>8</v>
      </c>
      <c r="I131" s="1" t="str">
        <f>_xlfn.XLOOKUP( C131, 'FP Ranking'!$A$2:$A$544, 'FP Ranking'!$D$2:$D$544 )</f>
        <v>HOU</v>
      </c>
      <c r="J131" s="1" t="str" cm="1">
        <f t="array" ref="J131">LEFT(_xlfn.XLOOKUP(C131, 'FP Ranking'!$A$2:$A$544, 'FP Ranking'!$E$2:$E$544), MIN(SEARCH({1,2,3,4,5,6,7,8,9,0}, _xlfn.XLOOKUP(C131, 'FP Ranking'!$A$2:$A$544, 'FP Ranking'!$E$2:$E$544)&amp;{1,2,3,4,5,6,7,8,9,0}))-1)</f>
        <v>WR</v>
      </c>
      <c r="K131" s="1">
        <f t="shared" si="17"/>
        <v>24</v>
      </c>
      <c r="L131" s="9">
        <f t="shared" si="18"/>
        <v>3.8520528597892255E-2</v>
      </c>
      <c r="M131" s="2">
        <f t="shared" si="19"/>
        <v>0.84399999999999997</v>
      </c>
    </row>
    <row r="132" spans="1:13" ht="13" x14ac:dyDescent="0.15">
      <c r="A132" s="7"/>
      <c r="B132" s="1">
        <f t="shared" si="16"/>
        <v>11</v>
      </c>
      <c r="C132" s="1">
        <v>131</v>
      </c>
      <c r="D132" s="1" t="str">
        <f>_xlfn.XLOOKUP( C132, 'FP Ranking'!$A$2:$A$544, 'FP Ranking'!$C$2:$C$544 )</f>
        <v>Rachaad White</v>
      </c>
      <c r="E132" s="8" t="b">
        <v>0</v>
      </c>
      <c r="F132" s="8" t="b">
        <v>0</v>
      </c>
      <c r="G132" s="1">
        <f xml:space="preserve"> _xlfn.XLOOKUP(  D132, 'ESPN Ranking'!$B$2:$B$544, 'ESPN Ranking'!$A$2:$A$544 )</f>
        <v>131</v>
      </c>
      <c r="H132" s="1">
        <f>_xlfn.XLOOKUP( C132, 'FP Ranking'!$A$2:$A$544, 'FP Ranking'!$B$2:$B$544 )</f>
        <v>8</v>
      </c>
      <c r="I132" s="1" t="str">
        <f>_xlfn.XLOOKUP( C132, 'FP Ranking'!$A$2:$A$544, 'FP Ranking'!$D$2:$D$544 )</f>
        <v>TB</v>
      </c>
      <c r="J132" s="1" t="str" cm="1">
        <f t="array" ref="J132">LEFT(_xlfn.XLOOKUP(C132, 'FP Ranking'!$A$2:$A$544, 'FP Ranking'!$E$2:$E$544), MIN(SEARCH({1,2,3,4,5,6,7,8,9,0}, _xlfn.XLOOKUP(C132, 'FP Ranking'!$A$2:$A$544, 'FP Ranking'!$E$2:$E$544)&amp;{1,2,3,4,5,6,7,8,9,0}))-1)</f>
        <v>RB</v>
      </c>
      <c r="K132" s="1">
        <f t="shared" si="17"/>
        <v>0</v>
      </c>
      <c r="L132" s="9">
        <f t="shared" si="18"/>
        <v>0</v>
      </c>
      <c r="M132" s="2">
        <f t="shared" si="19"/>
        <v>0.437</v>
      </c>
    </row>
    <row r="133" spans="1:13" ht="13" x14ac:dyDescent="0.15">
      <c r="A133" s="7"/>
      <c r="B133" s="1">
        <f t="shared" si="16"/>
        <v>11</v>
      </c>
      <c r="C133" s="1">
        <v>132</v>
      </c>
      <c r="D133" s="1" t="str">
        <f>_xlfn.XLOOKUP( C133, 'FP Ranking'!$A$2:$A$544, 'FP Ranking'!$C$2:$C$544 )</f>
        <v>Brian Robinson Jr.</v>
      </c>
      <c r="E133" s="8" t="b">
        <v>0</v>
      </c>
      <c r="F133" s="8" t="b">
        <v>0</v>
      </c>
      <c r="G133" s="1">
        <f xml:space="preserve"> _xlfn.XLOOKUP(  D133, 'ESPN Ranking'!$B$2:$B$544, 'ESPN Ranking'!$A$2:$A$544 )</f>
        <v>195</v>
      </c>
      <c r="H133" s="1">
        <f>_xlfn.XLOOKUP( C133, 'FP Ranking'!$A$2:$A$544, 'FP Ranking'!$B$2:$B$544 )</f>
        <v>8</v>
      </c>
      <c r="I133" s="1" t="str">
        <f>_xlfn.XLOOKUP( C133, 'FP Ranking'!$A$2:$A$544, 'FP Ranking'!$D$2:$D$544 )</f>
        <v>SF</v>
      </c>
      <c r="J133" s="1" t="str" cm="1">
        <f t="array" ref="J133">LEFT(_xlfn.XLOOKUP(C133, 'FP Ranking'!$A$2:$A$544, 'FP Ranking'!$E$2:$E$544), MIN(SEARCH({1,2,3,4,5,6,7,8,9,0}, _xlfn.XLOOKUP(C133, 'FP Ranking'!$A$2:$A$544, 'FP Ranking'!$E$2:$E$544)&amp;{1,2,3,4,5,6,7,8,9,0}))-1)</f>
        <v>RB</v>
      </c>
      <c r="K133" s="1">
        <f t="shared" si="17"/>
        <v>63</v>
      </c>
      <c r="L133" s="9">
        <f t="shared" si="18"/>
        <v>0.1008002183589076</v>
      </c>
      <c r="M133" s="2">
        <f t="shared" si="19"/>
        <v>0.96899999999999997</v>
      </c>
    </row>
    <row r="134" spans="1:13" ht="13" x14ac:dyDescent="0.15">
      <c r="A134" s="7"/>
      <c r="B134" s="1">
        <f t="shared" si="16"/>
        <v>12</v>
      </c>
      <c r="C134" s="1">
        <v>133</v>
      </c>
      <c r="D134" s="1" t="str">
        <f>_xlfn.XLOOKUP( C134, 'FP Ranking'!$A$2:$A$544, 'FP Ranking'!$C$2:$C$544 )</f>
        <v>Ray Davis</v>
      </c>
      <c r="E134" s="8" t="b">
        <v>0</v>
      </c>
      <c r="F134" s="8" t="b">
        <v>0</v>
      </c>
      <c r="G134" s="1">
        <f xml:space="preserve"> _xlfn.XLOOKUP(  D134, 'ESPN Ranking'!$B$2:$B$544, 'ESPN Ranking'!$A$2:$A$544 )</f>
        <v>149</v>
      </c>
      <c r="H134" s="1">
        <f>_xlfn.XLOOKUP( C134, 'FP Ranking'!$A$2:$A$544, 'FP Ranking'!$B$2:$B$544 )</f>
        <v>8</v>
      </c>
      <c r="I134" s="1" t="str">
        <f>_xlfn.XLOOKUP( C134, 'FP Ranking'!$A$2:$A$544, 'FP Ranking'!$D$2:$D$544 )</f>
        <v>BUF</v>
      </c>
      <c r="J134" s="1" t="str" cm="1">
        <f t="array" ref="J134">LEFT(_xlfn.XLOOKUP(C134, 'FP Ranking'!$A$2:$A$544, 'FP Ranking'!$E$2:$E$544), MIN(SEARCH({1,2,3,4,5,6,7,8,9,0}, _xlfn.XLOOKUP(C134, 'FP Ranking'!$A$2:$A$544, 'FP Ranking'!$E$2:$E$544)&amp;{1,2,3,4,5,6,7,8,9,0}))-1)</f>
        <v>RB</v>
      </c>
      <c r="K134" s="1">
        <f t="shared" si="17"/>
        <v>16</v>
      </c>
      <c r="L134" s="9">
        <f t="shared" si="18"/>
        <v>2.5560547257993612E-2</v>
      </c>
      <c r="M134" s="2">
        <f t="shared" si="19"/>
        <v>0.81399999999999995</v>
      </c>
    </row>
    <row r="135" spans="1:13" ht="13" x14ac:dyDescent="0.15">
      <c r="A135" s="7"/>
      <c r="B135" s="1">
        <f t="shared" si="16"/>
        <v>12</v>
      </c>
      <c r="C135" s="1">
        <v>134</v>
      </c>
      <c r="D135" s="1" t="str">
        <f>_xlfn.XLOOKUP( C135, 'FP Ranking'!$A$2:$A$544, 'FP Ranking'!$C$2:$C$544 )</f>
        <v>Trey Benson</v>
      </c>
      <c r="E135" s="8" t="b">
        <v>0</v>
      </c>
      <c r="F135" s="8" t="b">
        <v>0</v>
      </c>
      <c r="G135" s="1">
        <f xml:space="preserve"> _xlfn.XLOOKUP(  D135, 'ESPN Ranking'!$B$2:$B$544, 'ESPN Ranking'!$A$2:$A$544 )</f>
        <v>130</v>
      </c>
      <c r="H135" s="1">
        <f>_xlfn.XLOOKUP( C135, 'FP Ranking'!$A$2:$A$544, 'FP Ranking'!$B$2:$B$544 )</f>
        <v>8</v>
      </c>
      <c r="I135" s="1" t="str">
        <f>_xlfn.XLOOKUP( C135, 'FP Ranking'!$A$2:$A$544, 'FP Ranking'!$D$2:$D$544 )</f>
        <v>ARI</v>
      </c>
      <c r="J135" s="1" t="str" cm="1">
        <f t="array" ref="J135">LEFT(_xlfn.XLOOKUP(C135, 'FP Ranking'!$A$2:$A$544, 'FP Ranking'!$E$2:$E$544), MIN(SEARCH({1,2,3,4,5,6,7,8,9,0}, _xlfn.XLOOKUP(C135, 'FP Ranking'!$A$2:$A$544, 'FP Ranking'!$E$2:$E$544)&amp;{1,2,3,4,5,6,7,8,9,0}))-1)</f>
        <v>RB</v>
      </c>
      <c r="K135" s="1">
        <f t="shared" si="17"/>
        <v>-4</v>
      </c>
      <c r="L135" s="9">
        <f t="shared" si="18"/>
        <v>-6.3803638494491395E-3</v>
      </c>
      <c r="M135" s="2">
        <f t="shared" si="19"/>
        <v>0.32600000000000001</v>
      </c>
    </row>
    <row r="136" spans="1:13" ht="13" x14ac:dyDescent="0.15">
      <c r="A136" s="7"/>
      <c r="B136" s="1">
        <f t="shared" si="16"/>
        <v>12</v>
      </c>
      <c r="C136" s="1">
        <v>135</v>
      </c>
      <c r="D136" s="1" t="str">
        <f>_xlfn.XLOOKUP( C136, 'FP Ranking'!$A$2:$A$544, 'FP Ranking'!$C$2:$C$544 )</f>
        <v>Quinshon Judkins</v>
      </c>
      <c r="E136" s="8" t="b">
        <v>0</v>
      </c>
      <c r="F136" s="8" t="b">
        <v>0</v>
      </c>
      <c r="G136" s="1">
        <f xml:space="preserve"> _xlfn.XLOOKUP(  D136, 'ESPN Ranking'!$B$2:$B$544, 'ESPN Ranking'!$A$2:$A$544 )</f>
        <v>147</v>
      </c>
      <c r="H136" s="1">
        <f>_xlfn.XLOOKUP( C136, 'FP Ranking'!$A$2:$A$544, 'FP Ranking'!$B$2:$B$544 )</f>
        <v>8</v>
      </c>
      <c r="I136" s="1" t="str">
        <f>_xlfn.XLOOKUP( C136, 'FP Ranking'!$A$2:$A$544, 'FP Ranking'!$D$2:$D$544 )</f>
        <v>CLE</v>
      </c>
      <c r="J136" s="1" t="str" cm="1">
        <f t="array" ref="J136">LEFT(_xlfn.XLOOKUP(C136, 'FP Ranking'!$A$2:$A$544, 'FP Ranking'!$E$2:$E$544), MIN(SEARCH({1,2,3,4,5,6,7,8,9,0}, _xlfn.XLOOKUP(C136, 'FP Ranking'!$A$2:$A$544, 'FP Ranking'!$E$2:$E$544)&amp;{1,2,3,4,5,6,7,8,9,0}))-1)</f>
        <v>RB</v>
      </c>
      <c r="K136" s="1">
        <f t="shared" si="17"/>
        <v>12</v>
      </c>
      <c r="L136" s="9">
        <f t="shared" si="18"/>
        <v>1.9112079187100065E-2</v>
      </c>
      <c r="M136" s="2">
        <f t="shared" si="19"/>
        <v>0.75800000000000001</v>
      </c>
    </row>
    <row r="137" spans="1:13" ht="13" x14ac:dyDescent="0.15">
      <c r="A137" s="7"/>
      <c r="B137" s="1">
        <f t="shared" si="16"/>
        <v>12</v>
      </c>
      <c r="C137" s="1">
        <v>136</v>
      </c>
      <c r="D137" s="1" t="str">
        <f>_xlfn.XLOOKUP( C137, 'FP Ranking'!$A$2:$A$544, 'FP Ranking'!$C$2:$C$544 )</f>
        <v>Marvin Mims Jr.</v>
      </c>
      <c r="E137" s="8" t="b">
        <v>0</v>
      </c>
      <c r="F137" s="8" t="b">
        <v>0</v>
      </c>
      <c r="G137" s="1">
        <f xml:space="preserve"> _xlfn.XLOOKUP(  D137, 'ESPN Ranking'!$B$2:$B$544, 'ESPN Ranking'!$A$2:$A$544 )</f>
        <v>140</v>
      </c>
      <c r="H137" s="1">
        <f>_xlfn.XLOOKUP( C137, 'FP Ranking'!$A$2:$A$544, 'FP Ranking'!$B$2:$B$544 )</f>
        <v>8</v>
      </c>
      <c r="I137" s="1" t="str">
        <f>_xlfn.XLOOKUP( C137, 'FP Ranking'!$A$2:$A$544, 'FP Ranking'!$D$2:$D$544 )</f>
        <v>DEN</v>
      </c>
      <c r="J137" s="1" t="str" cm="1">
        <f t="array" ref="J137">LEFT(_xlfn.XLOOKUP(C137, 'FP Ranking'!$A$2:$A$544, 'FP Ranking'!$E$2:$E$544), MIN(SEARCH({1,2,3,4,5,6,7,8,9,0}, _xlfn.XLOOKUP(C137, 'FP Ranking'!$A$2:$A$544, 'FP Ranking'!$E$2:$E$544)&amp;{1,2,3,4,5,6,7,8,9,0}))-1)</f>
        <v>WR</v>
      </c>
      <c r="K137" s="1">
        <f t="shared" si="17"/>
        <v>4</v>
      </c>
      <c r="L137" s="9">
        <f t="shared" si="18"/>
        <v>6.3611225959989007E-3</v>
      </c>
      <c r="M137" s="2">
        <f t="shared" si="19"/>
        <v>0.58699999999999997</v>
      </c>
    </row>
    <row r="138" spans="1:13" ht="13" x14ac:dyDescent="0.15">
      <c r="A138" s="7"/>
      <c r="B138" s="1">
        <f t="shared" si="16"/>
        <v>12</v>
      </c>
      <c r="C138" s="1">
        <v>137</v>
      </c>
      <c r="D138" s="1" t="str">
        <f>_xlfn.XLOOKUP( C138, 'FP Ranking'!$A$2:$A$544, 'FP Ranking'!$C$2:$C$544 )</f>
        <v>Bhayshul Tuten</v>
      </c>
      <c r="E138" s="8" t="b">
        <v>0</v>
      </c>
      <c r="F138" s="8" t="b">
        <v>0</v>
      </c>
      <c r="G138" s="1">
        <f xml:space="preserve"> _xlfn.XLOOKUP(  D138, 'ESPN Ranking'!$B$2:$B$544, 'ESPN Ranking'!$A$2:$A$544 )</f>
        <v>117</v>
      </c>
      <c r="H138" s="1">
        <f>_xlfn.XLOOKUP( C138, 'FP Ranking'!$A$2:$A$544, 'FP Ranking'!$B$2:$B$544 )</f>
        <v>8</v>
      </c>
      <c r="I138" s="1" t="str">
        <f>_xlfn.XLOOKUP( C138, 'FP Ranking'!$A$2:$A$544, 'FP Ranking'!$D$2:$D$544 )</f>
        <v>JAC</v>
      </c>
      <c r="J138" s="1" t="str" cm="1">
        <f t="array" ref="J138">LEFT(_xlfn.XLOOKUP(C138, 'FP Ranking'!$A$2:$A$544, 'FP Ranking'!$E$2:$E$544), MIN(SEARCH({1,2,3,4,5,6,7,8,9,0}, _xlfn.XLOOKUP(C138, 'FP Ranking'!$A$2:$A$544, 'FP Ranking'!$E$2:$E$544)&amp;{1,2,3,4,5,6,7,8,9,0}))-1)</f>
        <v>RB</v>
      </c>
      <c r="K138" s="1">
        <f t="shared" si="17"/>
        <v>-20</v>
      </c>
      <c r="L138" s="9">
        <f t="shared" si="18"/>
        <v>-3.1758253203735785E-2</v>
      </c>
      <c r="M138" s="2">
        <f t="shared" si="19"/>
        <v>7.0000000000000007E-2</v>
      </c>
    </row>
    <row r="139" spans="1:13" ht="13" x14ac:dyDescent="0.15">
      <c r="A139" s="7"/>
      <c r="B139" s="1">
        <f t="shared" si="16"/>
        <v>12</v>
      </c>
      <c r="C139" s="1">
        <v>138</v>
      </c>
      <c r="D139" s="1" t="str">
        <f>_xlfn.XLOOKUP( C139, 'FP Ranking'!$A$2:$A$544, 'FP Ranking'!$C$2:$C$544 )</f>
        <v>Rashod Bateman</v>
      </c>
      <c r="E139" s="8" t="b">
        <v>0</v>
      </c>
      <c r="F139" s="8" t="b">
        <v>0</v>
      </c>
      <c r="G139" s="1">
        <f xml:space="preserve"> _xlfn.XLOOKUP(  D139, 'ESPN Ranking'!$B$2:$B$544, 'ESPN Ranking'!$A$2:$A$544 )</f>
        <v>152</v>
      </c>
      <c r="H139" s="1">
        <f>_xlfn.XLOOKUP( C139, 'FP Ranking'!$A$2:$A$544, 'FP Ranking'!$B$2:$B$544 )</f>
        <v>8</v>
      </c>
      <c r="I139" s="1" t="str">
        <f>_xlfn.XLOOKUP( C139, 'FP Ranking'!$A$2:$A$544, 'FP Ranking'!$D$2:$D$544 )</f>
        <v>BAL</v>
      </c>
      <c r="J139" s="1" t="str" cm="1">
        <f t="array" ref="J139">LEFT(_xlfn.XLOOKUP(C139, 'FP Ranking'!$A$2:$A$544, 'FP Ranking'!$E$2:$E$544), MIN(SEARCH({1,2,3,4,5,6,7,8,9,0}, _xlfn.XLOOKUP(C139, 'FP Ranking'!$A$2:$A$544, 'FP Ranking'!$E$2:$E$544)&amp;{1,2,3,4,5,6,7,8,9,0}))-1)</f>
        <v>WR</v>
      </c>
      <c r="K139" s="1">
        <f t="shared" si="17"/>
        <v>14</v>
      </c>
      <c r="L139" s="9">
        <f t="shared" si="18"/>
        <v>2.2197964015832964E-2</v>
      </c>
      <c r="M139" s="2">
        <f t="shared" si="19"/>
        <v>0.78300000000000003</v>
      </c>
    </row>
    <row r="140" spans="1:13" ht="13" x14ac:dyDescent="0.15">
      <c r="A140" s="7"/>
      <c r="B140" s="1">
        <f t="shared" si="16"/>
        <v>12</v>
      </c>
      <c r="C140" s="1">
        <v>139</v>
      </c>
      <c r="D140" s="1" t="str">
        <f>_xlfn.XLOOKUP( C140, 'FP Ranking'!$A$2:$A$544, 'FP Ranking'!$C$2:$C$544 )</f>
        <v>Kyle Pitts Sr.</v>
      </c>
      <c r="E140" s="8" t="b">
        <v>0</v>
      </c>
      <c r="F140" s="8" t="b">
        <v>0</v>
      </c>
      <c r="G140" s="1">
        <f xml:space="preserve"> _xlfn.XLOOKUP(  D140, 'ESPN Ranking'!$B$2:$B$544, 'ESPN Ranking'!$A$2:$A$544 )</f>
        <v>142</v>
      </c>
      <c r="H140" s="1">
        <f>_xlfn.XLOOKUP( C140, 'FP Ranking'!$A$2:$A$544, 'FP Ranking'!$B$2:$B$544 )</f>
        <v>8</v>
      </c>
      <c r="I140" s="1" t="str">
        <f>_xlfn.XLOOKUP( C140, 'FP Ranking'!$A$2:$A$544, 'FP Ranking'!$D$2:$D$544 )</f>
        <v>ATL</v>
      </c>
      <c r="J140" s="1" t="str" cm="1">
        <f t="array" ref="J140">LEFT(_xlfn.XLOOKUP(C140, 'FP Ranking'!$A$2:$A$544, 'FP Ranking'!$E$2:$E$544), MIN(SEARCH({1,2,3,4,5,6,7,8,9,0}, _xlfn.XLOOKUP(C140, 'FP Ranking'!$A$2:$A$544, 'FP Ranking'!$E$2:$E$544)&amp;{1,2,3,4,5,6,7,8,9,0}))-1)</f>
        <v>TE</v>
      </c>
      <c r="K140" s="1">
        <f t="shared" si="17"/>
        <v>3</v>
      </c>
      <c r="L140" s="9">
        <f t="shared" si="18"/>
        <v>4.7497464405754815E-3</v>
      </c>
      <c r="M140" s="2">
        <f t="shared" si="19"/>
        <v>0.56200000000000006</v>
      </c>
    </row>
    <row r="141" spans="1:13" ht="13" x14ac:dyDescent="0.15">
      <c r="A141" s="7"/>
      <c r="B141" s="1">
        <f t="shared" si="16"/>
        <v>12</v>
      </c>
      <c r="C141" s="1">
        <v>140</v>
      </c>
      <c r="D141" s="1" t="str">
        <f>_xlfn.XLOOKUP( C141, 'FP Ranking'!$A$2:$A$544, 'FP Ranking'!$C$2:$C$544 )</f>
        <v>Jaydon Blue</v>
      </c>
      <c r="E141" s="8" t="b">
        <v>0</v>
      </c>
      <c r="F141" s="8" t="b">
        <v>0</v>
      </c>
      <c r="G141" s="1">
        <f xml:space="preserve"> _xlfn.XLOOKUP(  D141, 'ESPN Ranking'!$B$2:$B$544, 'ESPN Ranking'!$A$2:$A$544 )</f>
        <v>132</v>
      </c>
      <c r="H141" s="1">
        <f>_xlfn.XLOOKUP( C141, 'FP Ranking'!$A$2:$A$544, 'FP Ranking'!$B$2:$B$544 )</f>
        <v>8</v>
      </c>
      <c r="I141" s="1" t="str">
        <f>_xlfn.XLOOKUP( C141, 'FP Ranking'!$A$2:$A$544, 'FP Ranking'!$D$2:$D$544 )</f>
        <v>DAL</v>
      </c>
      <c r="J141" s="1" t="str" cm="1">
        <f t="array" ref="J141">LEFT(_xlfn.XLOOKUP(C141, 'FP Ranking'!$A$2:$A$544, 'FP Ranking'!$E$2:$E$544), MIN(SEARCH({1,2,3,4,5,6,7,8,9,0}, _xlfn.XLOOKUP(C141, 'FP Ranking'!$A$2:$A$544, 'FP Ranking'!$E$2:$E$544)&amp;{1,2,3,4,5,6,7,8,9,0}))-1)</f>
        <v>RB</v>
      </c>
      <c r="K141" s="1">
        <f t="shared" si="17"/>
        <v>-8</v>
      </c>
      <c r="L141" s="9">
        <f t="shared" si="18"/>
        <v>-1.2647616855895156E-2</v>
      </c>
      <c r="M141" s="2">
        <f t="shared" si="19"/>
        <v>0.221</v>
      </c>
    </row>
    <row r="142" spans="1:13" ht="13" x14ac:dyDescent="0.15">
      <c r="A142" s="7"/>
      <c r="B142" s="1">
        <f t="shared" si="16"/>
        <v>12</v>
      </c>
      <c r="C142" s="1">
        <v>141</v>
      </c>
      <c r="D142" s="1" t="str">
        <f>_xlfn.XLOOKUP( C142, 'FP Ranking'!$A$2:$A$544, 'FP Ranking'!$C$2:$C$544 )</f>
        <v>Brandon Aiyuk</v>
      </c>
      <c r="E142" s="8" t="b">
        <v>0</v>
      </c>
      <c r="F142" s="8" t="b">
        <v>0</v>
      </c>
      <c r="G142" s="1">
        <f xml:space="preserve"> _xlfn.XLOOKUP(  D142, 'ESPN Ranking'!$B$2:$B$544, 'ESPN Ranking'!$A$2:$A$544 )</f>
        <v>156</v>
      </c>
      <c r="H142" s="1">
        <f>_xlfn.XLOOKUP( C142, 'FP Ranking'!$A$2:$A$544, 'FP Ranking'!$B$2:$B$544 )</f>
        <v>8</v>
      </c>
      <c r="I142" s="1" t="str">
        <f>_xlfn.XLOOKUP( C142, 'FP Ranking'!$A$2:$A$544, 'FP Ranking'!$D$2:$D$544 )</f>
        <v>SF</v>
      </c>
      <c r="J142" s="1" t="str" cm="1">
        <f t="array" ref="J142">LEFT(_xlfn.XLOOKUP(C142, 'FP Ranking'!$A$2:$A$544, 'FP Ranking'!$E$2:$E$544), MIN(SEARCH({1,2,3,4,5,6,7,8,9,0}, _xlfn.XLOOKUP(C142, 'FP Ranking'!$A$2:$A$544, 'FP Ranking'!$E$2:$E$544)&amp;{1,2,3,4,5,6,7,8,9,0}))-1)</f>
        <v>WR</v>
      </c>
      <c r="K142" s="1">
        <f t="shared" si="17"/>
        <v>15</v>
      </c>
      <c r="L142" s="9">
        <f t="shared" si="18"/>
        <v>2.3680174952081762E-2</v>
      </c>
      <c r="M142" s="2">
        <f t="shared" si="19"/>
        <v>0.79800000000000004</v>
      </c>
    </row>
    <row r="143" spans="1:13" ht="13" x14ac:dyDescent="0.15">
      <c r="A143" s="7"/>
      <c r="B143" s="1">
        <f t="shared" si="16"/>
        <v>12</v>
      </c>
      <c r="C143" s="1">
        <v>142</v>
      </c>
      <c r="D143" s="1" t="str">
        <f>_xlfn.XLOOKUP( C143, 'FP Ranking'!$A$2:$A$544, 'FP Ranking'!$C$2:$C$544 )</f>
        <v>Tua Tagovailoa</v>
      </c>
      <c r="E143" s="8" t="b">
        <v>0</v>
      </c>
      <c r="F143" s="8" t="b">
        <v>0</v>
      </c>
      <c r="G143" s="1">
        <f xml:space="preserve"> _xlfn.XLOOKUP(  D143, 'ESPN Ranking'!$B$2:$B$544, 'ESPN Ranking'!$A$2:$A$544 )</f>
        <v>144</v>
      </c>
      <c r="H143" s="1">
        <f>_xlfn.XLOOKUP( C143, 'FP Ranking'!$A$2:$A$544, 'FP Ranking'!$B$2:$B$544 )</f>
        <v>8</v>
      </c>
      <c r="I143" s="1" t="str">
        <f>_xlfn.XLOOKUP( C143, 'FP Ranking'!$A$2:$A$544, 'FP Ranking'!$D$2:$D$544 )</f>
        <v>MIA</v>
      </c>
      <c r="J143" s="1" t="str" cm="1">
        <f t="array" ref="J143">LEFT(_xlfn.XLOOKUP(C143, 'FP Ranking'!$A$2:$A$544, 'FP Ranking'!$E$2:$E$544), MIN(SEARCH({1,2,3,4,5,6,7,8,9,0}, _xlfn.XLOOKUP(C143, 'FP Ranking'!$A$2:$A$544, 'FP Ranking'!$E$2:$E$544)&amp;{1,2,3,4,5,6,7,8,9,0}))-1)</f>
        <v>QB</v>
      </c>
      <c r="K143" s="1">
        <f t="shared" si="17"/>
        <v>2</v>
      </c>
      <c r="L143" s="9">
        <f t="shared" si="18"/>
        <v>3.1528541691208398E-3</v>
      </c>
      <c r="M143" s="2">
        <f t="shared" si="19"/>
        <v>0.53700000000000003</v>
      </c>
    </row>
    <row r="144" spans="1:13" ht="13" x14ac:dyDescent="0.15">
      <c r="A144" s="7"/>
      <c r="B144" s="1">
        <f t="shared" si="16"/>
        <v>12</v>
      </c>
      <c r="C144" s="1">
        <v>143</v>
      </c>
      <c r="D144" s="1" t="str">
        <f>_xlfn.XLOOKUP( C144, 'FP Ranking'!$A$2:$A$544, 'FP Ranking'!$C$2:$C$544 )</f>
        <v>Joe Mixon</v>
      </c>
      <c r="E144" s="8" t="b">
        <v>0</v>
      </c>
      <c r="F144" s="8" t="b">
        <v>0</v>
      </c>
      <c r="G144" s="1">
        <f xml:space="preserve"> _xlfn.XLOOKUP(  D144, 'ESPN Ranking'!$B$2:$B$544, 'ESPN Ranking'!$A$2:$A$544 )</f>
        <v>148</v>
      </c>
      <c r="H144" s="1">
        <f>_xlfn.XLOOKUP( C144, 'FP Ranking'!$A$2:$A$544, 'FP Ranking'!$B$2:$B$544 )</f>
        <v>8</v>
      </c>
      <c r="I144" s="1" t="str">
        <f>_xlfn.XLOOKUP( C144, 'FP Ranking'!$A$2:$A$544, 'FP Ranking'!$D$2:$D$544 )</f>
        <v>HOU</v>
      </c>
      <c r="J144" s="1" t="str" cm="1">
        <f t="array" ref="J144">LEFT(_xlfn.XLOOKUP(C144, 'FP Ranking'!$A$2:$A$544, 'FP Ranking'!$E$2:$E$544), MIN(SEARCH({1,2,3,4,5,6,7,8,9,0}, _xlfn.XLOOKUP(C144, 'FP Ranking'!$A$2:$A$544, 'FP Ranking'!$E$2:$E$544)&amp;{1,2,3,4,5,6,7,8,9,0}))-1)</f>
        <v>RB</v>
      </c>
      <c r="K144" s="1">
        <f t="shared" si="17"/>
        <v>5</v>
      </c>
      <c r="L144" s="9">
        <f t="shared" si="18"/>
        <v>7.8709899080508343E-3</v>
      </c>
      <c r="M144" s="2">
        <f t="shared" si="19"/>
        <v>0.623</v>
      </c>
    </row>
    <row r="145" spans="1:13" ht="13" x14ac:dyDescent="0.15">
      <c r="A145" s="7"/>
      <c r="B145" s="1">
        <f t="shared" si="16"/>
        <v>12</v>
      </c>
      <c r="C145" s="1">
        <v>144</v>
      </c>
      <c r="D145" s="1" t="str">
        <f>_xlfn.XLOOKUP( C145, 'FP Ranking'!$A$2:$A$544, 'FP Ranking'!$C$2:$C$544 )</f>
        <v>Jerome Ford</v>
      </c>
      <c r="E145" s="8" t="b">
        <v>0</v>
      </c>
      <c r="F145" s="8" t="b">
        <v>0</v>
      </c>
      <c r="G145" s="1">
        <f xml:space="preserve"> _xlfn.XLOOKUP(  D145, 'ESPN Ranking'!$B$2:$B$544, 'ESPN Ranking'!$A$2:$A$544 )</f>
        <v>120</v>
      </c>
      <c r="H145" s="1">
        <f>_xlfn.XLOOKUP( C145, 'FP Ranking'!$A$2:$A$544, 'FP Ranking'!$B$2:$B$544 )</f>
        <v>8</v>
      </c>
      <c r="I145" s="1" t="str">
        <f>_xlfn.XLOOKUP( C145, 'FP Ranking'!$A$2:$A$544, 'FP Ranking'!$D$2:$D$544 )</f>
        <v>CLE</v>
      </c>
      <c r="J145" s="1" t="str" cm="1">
        <f t="array" ref="J145">LEFT(_xlfn.XLOOKUP(C145, 'FP Ranking'!$A$2:$A$544, 'FP Ranking'!$E$2:$E$544), MIN(SEARCH({1,2,3,4,5,6,7,8,9,0}, _xlfn.XLOOKUP(C145, 'FP Ranking'!$A$2:$A$544, 'FP Ranking'!$E$2:$E$544)&amp;{1,2,3,4,5,6,7,8,9,0}))-1)</f>
        <v>RB</v>
      </c>
      <c r="K145" s="1">
        <f t="shared" si="17"/>
        <v>-24</v>
      </c>
      <c r="L145" s="9">
        <f t="shared" si="18"/>
        <v>-3.7727775410797935E-2</v>
      </c>
      <c r="M145" s="2">
        <f t="shared" si="19"/>
        <v>4.4999999999999998E-2</v>
      </c>
    </row>
    <row r="146" spans="1:13" ht="13" x14ac:dyDescent="0.15">
      <c r="A146" s="7"/>
      <c r="B146" s="1">
        <f t="shared" si="16"/>
        <v>13</v>
      </c>
      <c r="C146" s="1">
        <v>145</v>
      </c>
      <c r="D146" s="1" t="str">
        <f>_xlfn.XLOOKUP( C146, 'FP Ranking'!$A$2:$A$544, 'FP Ranking'!$C$2:$C$544 )</f>
        <v>Tyler Allgeier</v>
      </c>
      <c r="E146" s="8" t="b">
        <v>0</v>
      </c>
      <c r="F146" s="8" t="b">
        <v>0</v>
      </c>
      <c r="G146" s="1">
        <f xml:space="preserve"> _xlfn.XLOOKUP(  D146, 'ESPN Ranking'!$B$2:$B$544, 'ESPN Ranking'!$A$2:$A$544 )</f>
        <v>133</v>
      </c>
      <c r="H146" s="1">
        <f>_xlfn.XLOOKUP( C146, 'FP Ranking'!$A$2:$A$544, 'FP Ranking'!$B$2:$B$544 )</f>
        <v>8</v>
      </c>
      <c r="I146" s="1" t="str">
        <f>_xlfn.XLOOKUP( C146, 'FP Ranking'!$A$2:$A$544, 'FP Ranking'!$D$2:$D$544 )</f>
        <v>ATL</v>
      </c>
      <c r="J146" s="1" t="str" cm="1">
        <f t="array" ref="J146">LEFT(_xlfn.XLOOKUP(C146, 'FP Ranking'!$A$2:$A$544, 'FP Ranking'!$E$2:$E$544), MIN(SEARCH({1,2,3,4,5,6,7,8,9,0}, _xlfn.XLOOKUP(C146, 'FP Ranking'!$A$2:$A$544, 'FP Ranking'!$E$2:$E$544)&amp;{1,2,3,4,5,6,7,8,9,0}))-1)</f>
        <v>RB</v>
      </c>
      <c r="K146" s="1">
        <f t="shared" si="17"/>
        <v>-12</v>
      </c>
      <c r="L146" s="9">
        <f t="shared" si="18"/>
        <v>-1.883765635298023E-2</v>
      </c>
      <c r="M146" s="2">
        <f t="shared" si="19"/>
        <v>0.17</v>
      </c>
    </row>
    <row r="147" spans="1:13" ht="13" x14ac:dyDescent="0.15">
      <c r="A147" s="7"/>
      <c r="B147" s="1">
        <f t="shared" si="16"/>
        <v>13</v>
      </c>
      <c r="C147" s="1">
        <v>146</v>
      </c>
      <c r="D147" s="1" t="str">
        <f>_xlfn.XLOOKUP( C147, 'FP Ranking'!$A$2:$A$544, 'FP Ranking'!$C$2:$C$544 )</f>
        <v>Bryce Young</v>
      </c>
      <c r="E147" s="8" t="b">
        <v>0</v>
      </c>
      <c r="F147" s="8" t="b">
        <v>0</v>
      </c>
      <c r="G147" s="1">
        <f xml:space="preserve"> _xlfn.XLOOKUP(  D147, 'ESPN Ranking'!$B$2:$B$544, 'ESPN Ranking'!$A$2:$A$544 )</f>
        <v>218</v>
      </c>
      <c r="H147" s="1">
        <f>_xlfn.XLOOKUP( C147, 'FP Ranking'!$A$2:$A$544, 'FP Ranking'!$B$2:$B$544 )</f>
        <v>8</v>
      </c>
      <c r="I147" s="1" t="str">
        <f>_xlfn.XLOOKUP( C147, 'FP Ranking'!$A$2:$A$544, 'FP Ranking'!$D$2:$D$544 )</f>
        <v>CAR</v>
      </c>
      <c r="J147" s="1" t="str" cm="1">
        <f t="array" ref="J147">LEFT(_xlfn.XLOOKUP(C147, 'FP Ranking'!$A$2:$A$544, 'FP Ranking'!$E$2:$E$544), MIN(SEARCH({1,2,3,4,5,6,7,8,9,0}, _xlfn.XLOOKUP(C147, 'FP Ranking'!$A$2:$A$544, 'FP Ranking'!$E$2:$E$544)&amp;{1,2,3,4,5,6,7,8,9,0}))-1)</f>
        <v>QB</v>
      </c>
      <c r="K147" s="1">
        <f t="shared" si="17"/>
        <v>72</v>
      </c>
      <c r="L147" s="9">
        <f t="shared" si="18"/>
        <v>0.11287006433248135</v>
      </c>
      <c r="M147" s="2">
        <f t="shared" si="19"/>
        <v>0.97399999999999998</v>
      </c>
    </row>
    <row r="148" spans="1:13" ht="13" x14ac:dyDescent="0.15">
      <c r="A148" s="7"/>
      <c r="B148" s="1">
        <f t="shared" si="16"/>
        <v>13</v>
      </c>
      <c r="C148" s="1">
        <v>147</v>
      </c>
      <c r="D148" s="1" t="str">
        <f>_xlfn.XLOOKUP( C148, 'FP Ranking'!$A$2:$A$544, 'FP Ranking'!$C$2:$C$544 )</f>
        <v>Keenan Allen</v>
      </c>
      <c r="E148" s="8" t="b">
        <v>0</v>
      </c>
      <c r="F148" s="8" t="b">
        <v>0</v>
      </c>
      <c r="G148" s="1">
        <f xml:space="preserve"> _xlfn.XLOOKUP(  D148, 'ESPN Ranking'!$B$2:$B$544, 'ESPN Ranking'!$A$2:$A$544 )</f>
        <v>109</v>
      </c>
      <c r="H148" s="1">
        <f>_xlfn.XLOOKUP( C148, 'FP Ranking'!$A$2:$A$544, 'FP Ranking'!$B$2:$B$544 )</f>
        <v>8</v>
      </c>
      <c r="I148" s="1" t="str">
        <f>_xlfn.XLOOKUP( C148, 'FP Ranking'!$A$2:$A$544, 'FP Ranking'!$D$2:$D$544 )</f>
        <v>LAC</v>
      </c>
      <c r="J148" s="1" t="str" cm="1">
        <f t="array" ref="J148">LEFT(_xlfn.XLOOKUP(C148, 'FP Ranking'!$A$2:$A$544, 'FP Ranking'!$E$2:$E$544), MIN(SEARCH({1,2,3,4,5,6,7,8,9,0}, _xlfn.XLOOKUP(C148, 'FP Ranking'!$A$2:$A$544, 'FP Ranking'!$E$2:$E$544)&amp;{1,2,3,4,5,6,7,8,9,0}))-1)</f>
        <v>WR</v>
      </c>
      <c r="K148" s="1">
        <f t="shared" si="17"/>
        <v>-38</v>
      </c>
      <c r="L148" s="9">
        <f t="shared" si="18"/>
        <v>-5.9488830845349464E-2</v>
      </c>
      <c r="M148" s="2">
        <f t="shared" si="19"/>
        <v>0.01</v>
      </c>
    </row>
    <row r="149" spans="1:13" ht="13" x14ac:dyDescent="0.15">
      <c r="A149" s="7"/>
      <c r="B149" s="1">
        <f t="shared" si="16"/>
        <v>13</v>
      </c>
      <c r="C149" s="1">
        <v>148</v>
      </c>
      <c r="D149" s="1" t="str">
        <f>_xlfn.XLOOKUP( C149, 'FP Ranking'!$A$2:$A$544, 'FP Ranking'!$C$2:$C$544 )</f>
        <v>Hunter Henry</v>
      </c>
      <c r="E149" s="8" t="b">
        <v>0</v>
      </c>
      <c r="F149" s="8" t="b">
        <v>0</v>
      </c>
      <c r="G149" s="1">
        <f xml:space="preserve"> _xlfn.XLOOKUP(  D149, 'ESPN Ranking'!$B$2:$B$544, 'ESPN Ranking'!$A$2:$A$544 )</f>
        <v>141</v>
      </c>
      <c r="H149" s="1">
        <f>_xlfn.XLOOKUP( C149, 'FP Ranking'!$A$2:$A$544, 'FP Ranking'!$B$2:$B$544 )</f>
        <v>8</v>
      </c>
      <c r="I149" s="1" t="str">
        <f>_xlfn.XLOOKUP( C149, 'FP Ranking'!$A$2:$A$544, 'FP Ranking'!$D$2:$D$544 )</f>
        <v>NE</v>
      </c>
      <c r="J149" s="1" t="str" cm="1">
        <f t="array" ref="J149">LEFT(_xlfn.XLOOKUP(C149, 'FP Ranking'!$A$2:$A$544, 'FP Ranking'!$E$2:$E$544), MIN(SEARCH({1,2,3,4,5,6,7,8,9,0}, _xlfn.XLOOKUP(C149, 'FP Ranking'!$A$2:$A$544, 'FP Ranking'!$E$2:$E$544)&amp;{1,2,3,4,5,6,7,8,9,0}))-1)</f>
        <v>TE</v>
      </c>
      <c r="K149" s="1">
        <f t="shared" si="17"/>
        <v>-7</v>
      </c>
      <c r="L149" s="9">
        <f t="shared" si="18"/>
        <v>-1.0943601553032893E-2</v>
      </c>
      <c r="M149" s="2">
        <f t="shared" si="19"/>
        <v>0.25600000000000001</v>
      </c>
    </row>
    <row r="150" spans="1:13" ht="13" x14ac:dyDescent="0.15">
      <c r="A150" s="7"/>
      <c r="B150" s="1">
        <f t="shared" si="16"/>
        <v>13</v>
      </c>
      <c r="C150" s="1">
        <v>149</v>
      </c>
      <c r="D150" s="1" t="str">
        <f>_xlfn.XLOOKUP( C150, 'FP Ranking'!$A$2:$A$544, 'FP Ranking'!$C$2:$C$544 )</f>
        <v>Cedric Tillman</v>
      </c>
      <c r="E150" s="8" t="b">
        <v>0</v>
      </c>
      <c r="F150" s="8" t="b">
        <v>0</v>
      </c>
      <c r="G150" s="1">
        <f xml:space="preserve"> _xlfn.XLOOKUP(  D150, 'ESPN Ranking'!$B$2:$B$544, 'ESPN Ranking'!$A$2:$A$544 )</f>
        <v>136</v>
      </c>
      <c r="H150" s="1">
        <f>_xlfn.XLOOKUP( C150, 'FP Ranking'!$A$2:$A$544, 'FP Ranking'!$B$2:$B$544 )</f>
        <v>8</v>
      </c>
      <c r="I150" s="1" t="str">
        <f>_xlfn.XLOOKUP( C150, 'FP Ranking'!$A$2:$A$544, 'FP Ranking'!$D$2:$D$544 )</f>
        <v>CLE</v>
      </c>
      <c r="J150" s="1" t="str" cm="1">
        <f t="array" ref="J150">LEFT(_xlfn.XLOOKUP(C150, 'FP Ranking'!$A$2:$A$544, 'FP Ranking'!$E$2:$E$544), MIN(SEARCH({1,2,3,4,5,6,7,8,9,0}, _xlfn.XLOOKUP(C150, 'FP Ranking'!$A$2:$A$544, 'FP Ranking'!$E$2:$E$544)&amp;{1,2,3,4,5,6,7,8,9,0}))-1)</f>
        <v>WR</v>
      </c>
      <c r="K150" s="1">
        <f t="shared" si="17"/>
        <v>-13</v>
      </c>
      <c r="L150" s="9">
        <f t="shared" si="18"/>
        <v>-2.0296480775448791E-2</v>
      </c>
      <c r="M150" s="2">
        <f t="shared" si="19"/>
        <v>0.15</v>
      </c>
    </row>
    <row r="151" spans="1:13" ht="13" x14ac:dyDescent="0.15">
      <c r="A151" s="7"/>
      <c r="B151" s="1">
        <f t="shared" si="16"/>
        <v>13</v>
      </c>
      <c r="C151" s="1">
        <v>150</v>
      </c>
      <c r="D151" s="1" t="str">
        <f>_xlfn.XLOOKUP( C151, 'FP Ranking'!$A$2:$A$544, 'FP Ranking'!$C$2:$C$544 )</f>
        <v>Dylan Sampson</v>
      </c>
      <c r="E151" s="8" t="b">
        <v>0</v>
      </c>
      <c r="F151" s="8" t="b">
        <v>0</v>
      </c>
      <c r="G151" s="1">
        <f xml:space="preserve"> _xlfn.XLOOKUP(  D151, 'ESPN Ranking'!$B$2:$B$544, 'ESPN Ranking'!$A$2:$A$544 )</f>
        <v>146</v>
      </c>
      <c r="H151" s="1">
        <f>_xlfn.XLOOKUP( C151, 'FP Ranking'!$A$2:$A$544, 'FP Ranking'!$B$2:$B$544 )</f>
        <v>8</v>
      </c>
      <c r="I151" s="1" t="str">
        <f>_xlfn.XLOOKUP( C151, 'FP Ranking'!$A$2:$A$544, 'FP Ranking'!$D$2:$D$544 )</f>
        <v>CLE</v>
      </c>
      <c r="J151" s="1" t="str" cm="1">
        <f t="array" ref="J151">LEFT(_xlfn.XLOOKUP(C151, 'FP Ranking'!$A$2:$A$544, 'FP Ranking'!$E$2:$E$544), MIN(SEARCH({1,2,3,4,5,6,7,8,9,0}, _xlfn.XLOOKUP(C151, 'FP Ranking'!$A$2:$A$544, 'FP Ranking'!$E$2:$E$544)&amp;{1,2,3,4,5,6,7,8,9,0}))-1)</f>
        <v>RB</v>
      </c>
      <c r="K151" s="1">
        <f t="shared" si="17"/>
        <v>-4</v>
      </c>
      <c r="L151" s="9">
        <f t="shared" si="18"/>
        <v>-6.2367340997298458E-3</v>
      </c>
      <c r="M151" s="2">
        <f t="shared" si="19"/>
        <v>0.33100000000000002</v>
      </c>
    </row>
    <row r="152" spans="1:13" ht="13" x14ac:dyDescent="0.15">
      <c r="A152" s="7"/>
      <c r="B152" s="1">
        <f t="shared" si="16"/>
        <v>13</v>
      </c>
      <c r="C152" s="1">
        <v>151</v>
      </c>
      <c r="D152" s="1" t="str">
        <f>_xlfn.XLOOKUP( C152, 'FP Ranking'!$A$2:$A$544, 'FP Ranking'!$C$2:$C$544 )</f>
        <v>Michael Penix Jr.</v>
      </c>
      <c r="E152" s="8" t="b">
        <v>0</v>
      </c>
      <c r="F152" s="8" t="b">
        <v>0</v>
      </c>
      <c r="G152" s="1">
        <f xml:space="preserve"> _xlfn.XLOOKUP(  D152, 'ESPN Ranking'!$B$2:$B$544, 'ESPN Ranking'!$A$2:$A$544 )</f>
        <v>200</v>
      </c>
      <c r="H152" s="1">
        <f>_xlfn.XLOOKUP( C152, 'FP Ranking'!$A$2:$A$544, 'FP Ranking'!$B$2:$B$544 )</f>
        <v>8</v>
      </c>
      <c r="I152" s="1" t="str">
        <f>_xlfn.XLOOKUP( C152, 'FP Ranking'!$A$2:$A$544, 'FP Ranking'!$D$2:$D$544 )</f>
        <v>ATL</v>
      </c>
      <c r="J152" s="1" t="str" cm="1">
        <f t="array" ref="J152">LEFT(_xlfn.XLOOKUP(C152, 'FP Ranking'!$A$2:$A$544, 'FP Ranking'!$E$2:$E$544), MIN(SEARCH({1,2,3,4,5,6,7,8,9,0}, _xlfn.XLOOKUP(C152, 'FP Ranking'!$A$2:$A$544, 'FP Ranking'!$E$2:$E$544)&amp;{1,2,3,4,5,6,7,8,9,0}))-1)</f>
        <v>QB</v>
      </c>
      <c r="K152" s="1">
        <f t="shared" si="17"/>
        <v>49</v>
      </c>
      <c r="L152" s="9">
        <f t="shared" si="18"/>
        <v>7.6298813789708306E-2</v>
      </c>
      <c r="M152" s="2">
        <f t="shared" si="19"/>
        <v>0.92900000000000005</v>
      </c>
    </row>
    <row r="153" spans="1:13" ht="13" x14ac:dyDescent="0.15">
      <c r="A153" s="7"/>
      <c r="B153" s="1">
        <f t="shared" si="16"/>
        <v>13</v>
      </c>
      <c r="C153" s="1">
        <v>152</v>
      </c>
      <c r="D153" s="1" t="str">
        <f>_xlfn.XLOOKUP( C153, 'FP Ranking'!$A$2:$A$544, 'FP Ranking'!$C$2:$C$544 )</f>
        <v>Luther Burden III</v>
      </c>
      <c r="E153" s="8" t="b">
        <v>0</v>
      </c>
      <c r="F153" s="8" t="b">
        <v>0</v>
      </c>
      <c r="G153" s="1">
        <f xml:space="preserve"> _xlfn.XLOOKUP(  D153, 'ESPN Ranking'!$B$2:$B$544, 'ESPN Ranking'!$A$2:$A$544 )</f>
        <v>193</v>
      </c>
      <c r="H153" s="1">
        <f>_xlfn.XLOOKUP( C153, 'FP Ranking'!$A$2:$A$544, 'FP Ranking'!$B$2:$B$544 )</f>
        <v>8</v>
      </c>
      <c r="I153" s="1" t="str">
        <f>_xlfn.XLOOKUP( C153, 'FP Ranking'!$A$2:$A$544, 'FP Ranking'!$D$2:$D$544 )</f>
        <v>CHI</v>
      </c>
      <c r="J153" s="1" t="str" cm="1">
        <f t="array" ref="J153">LEFT(_xlfn.XLOOKUP(C153, 'FP Ranking'!$A$2:$A$544, 'FP Ranking'!$E$2:$E$544), MIN(SEARCH({1,2,3,4,5,6,7,8,9,0}, _xlfn.XLOOKUP(C153, 'FP Ranking'!$A$2:$A$544, 'FP Ranking'!$E$2:$E$544)&amp;{1,2,3,4,5,6,7,8,9,0}))-1)</f>
        <v>WR</v>
      </c>
      <c r="K153" s="1">
        <f t="shared" si="17"/>
        <v>41</v>
      </c>
      <c r="L153" s="9">
        <f t="shared" si="18"/>
        <v>6.3757985220962848E-2</v>
      </c>
      <c r="M153" s="2">
        <f t="shared" si="19"/>
        <v>0.91400000000000003</v>
      </c>
    </row>
    <row r="154" spans="1:13" ht="13" x14ac:dyDescent="0.15">
      <c r="A154" s="7"/>
      <c r="B154" s="1">
        <f t="shared" si="16"/>
        <v>13</v>
      </c>
      <c r="C154" s="1">
        <v>153</v>
      </c>
      <c r="D154" s="1" t="str">
        <f>_xlfn.XLOOKUP( C154, 'FP Ranking'!$A$2:$A$544, 'FP Ranking'!$C$2:$C$544 )</f>
        <v>Zach Ertz</v>
      </c>
      <c r="E154" s="8" t="b">
        <v>0</v>
      </c>
      <c r="F154" s="8" t="b">
        <v>0</v>
      </c>
      <c r="G154" s="1">
        <f xml:space="preserve"> _xlfn.XLOOKUP(  D154, 'ESPN Ranking'!$B$2:$B$544, 'ESPN Ranking'!$A$2:$A$544 )</f>
        <v>165</v>
      </c>
      <c r="H154" s="1">
        <f>_xlfn.XLOOKUP( C154, 'FP Ranking'!$A$2:$A$544, 'FP Ranking'!$B$2:$B$544 )</f>
        <v>8</v>
      </c>
      <c r="I154" s="1" t="str">
        <f>_xlfn.XLOOKUP( C154, 'FP Ranking'!$A$2:$A$544, 'FP Ranking'!$D$2:$D$544 )</f>
        <v>WAS</v>
      </c>
      <c r="J154" s="1" t="str" cm="1">
        <f t="array" ref="J154">LEFT(_xlfn.XLOOKUP(C154, 'FP Ranking'!$A$2:$A$544, 'FP Ranking'!$E$2:$E$544), MIN(SEARCH({1,2,3,4,5,6,7,8,9,0}, _xlfn.XLOOKUP(C154, 'FP Ranking'!$A$2:$A$544, 'FP Ranking'!$E$2:$E$544)&amp;{1,2,3,4,5,6,7,8,9,0}))-1)</f>
        <v>TE</v>
      </c>
      <c r="K154" s="1">
        <f t="shared" si="17"/>
        <v>12</v>
      </c>
      <c r="L154" s="9">
        <f t="shared" si="18"/>
        <v>1.8636548440707088E-2</v>
      </c>
      <c r="M154" s="2">
        <f t="shared" si="19"/>
        <v>0.753</v>
      </c>
    </row>
    <row r="155" spans="1:13" ht="13" x14ac:dyDescent="0.15">
      <c r="A155" s="7"/>
      <c r="B155" s="1">
        <f t="shared" si="16"/>
        <v>13</v>
      </c>
      <c r="C155" s="1">
        <v>154</v>
      </c>
      <c r="D155" s="1" t="str">
        <f>_xlfn.XLOOKUP( C155, 'FP Ranking'!$A$2:$A$544, 'FP Ranking'!$C$2:$C$544 )</f>
        <v>Tyjae Spears</v>
      </c>
      <c r="E155" s="8" t="b">
        <v>0</v>
      </c>
      <c r="F155" s="8" t="b">
        <v>0</v>
      </c>
      <c r="G155" s="1">
        <f xml:space="preserve"> _xlfn.XLOOKUP(  D155, 'ESPN Ranking'!$B$2:$B$544, 'ESPN Ranking'!$A$2:$A$544 )</f>
        <v>212</v>
      </c>
      <c r="H155" s="1">
        <f>_xlfn.XLOOKUP( C155, 'FP Ranking'!$A$2:$A$544, 'FP Ranking'!$B$2:$B$544 )</f>
        <v>8</v>
      </c>
      <c r="I155" s="1" t="str">
        <f>_xlfn.XLOOKUP( C155, 'FP Ranking'!$A$2:$A$544, 'FP Ranking'!$D$2:$D$544 )</f>
        <v>TEN</v>
      </c>
      <c r="J155" s="1" t="str" cm="1">
        <f t="array" ref="J155">LEFT(_xlfn.XLOOKUP(C155, 'FP Ranking'!$A$2:$A$544, 'FP Ranking'!$E$2:$E$544), MIN(SEARCH({1,2,3,4,5,6,7,8,9,0}, _xlfn.XLOOKUP(C155, 'FP Ranking'!$A$2:$A$544, 'FP Ranking'!$E$2:$E$544)&amp;{1,2,3,4,5,6,7,8,9,0}))-1)</f>
        <v>RB</v>
      </c>
      <c r="K155" s="1">
        <f t="shared" si="17"/>
        <v>58</v>
      </c>
      <c r="L155" s="9">
        <f t="shared" si="18"/>
        <v>8.9960147685898315E-2</v>
      </c>
      <c r="M155" s="2">
        <f t="shared" si="19"/>
        <v>0.95899999999999996</v>
      </c>
    </row>
    <row r="156" spans="1:13" ht="13" x14ac:dyDescent="0.15">
      <c r="A156" s="7"/>
      <c r="B156" s="1">
        <f t="shared" si="16"/>
        <v>13</v>
      </c>
      <c r="C156" s="1">
        <v>155</v>
      </c>
      <c r="D156" s="1" t="str">
        <f>_xlfn.XLOOKUP( C156, 'FP Ranking'!$A$2:$A$544, 'FP Ranking'!$C$2:$C$544 )</f>
        <v>Geno Smith</v>
      </c>
      <c r="E156" s="8" t="b">
        <v>0</v>
      </c>
      <c r="F156" s="8" t="b">
        <v>0</v>
      </c>
      <c r="G156" s="1">
        <f xml:space="preserve"> _xlfn.XLOOKUP(  D156, 'ESPN Ranking'!$B$2:$B$544, 'ESPN Ranking'!$A$2:$A$544 )</f>
        <v>219</v>
      </c>
      <c r="H156" s="1">
        <f>_xlfn.XLOOKUP( C156, 'FP Ranking'!$A$2:$A$544, 'FP Ranking'!$B$2:$B$544 )</f>
        <v>8</v>
      </c>
      <c r="I156" s="1" t="str">
        <f>_xlfn.XLOOKUP( C156, 'FP Ranking'!$A$2:$A$544, 'FP Ranking'!$D$2:$D$544 )</f>
        <v>LV</v>
      </c>
      <c r="J156" s="1" t="str" cm="1">
        <f t="array" ref="J156">LEFT(_xlfn.XLOOKUP(C156, 'FP Ranking'!$A$2:$A$544, 'FP Ranking'!$E$2:$E$544), MIN(SEARCH({1,2,3,4,5,6,7,8,9,0}, _xlfn.XLOOKUP(C156, 'FP Ranking'!$A$2:$A$544, 'FP Ranking'!$E$2:$E$544)&amp;{1,2,3,4,5,6,7,8,9,0}))-1)</f>
        <v>QB</v>
      </c>
      <c r="K156" s="1">
        <f t="shared" si="17"/>
        <v>64</v>
      </c>
      <c r="L156" s="9">
        <f t="shared" si="18"/>
        <v>9.9138975677985824E-2</v>
      </c>
      <c r="M156" s="2">
        <f t="shared" si="19"/>
        <v>0.96399999999999997</v>
      </c>
    </row>
    <row r="157" spans="1:13" ht="13" x14ac:dyDescent="0.15">
      <c r="A157" s="7"/>
      <c r="B157" s="1">
        <f t="shared" si="16"/>
        <v>13</v>
      </c>
      <c r="C157" s="1">
        <v>156</v>
      </c>
      <c r="D157" s="1" t="str">
        <f>_xlfn.XLOOKUP( C157, 'FP Ranking'!$A$2:$A$544, 'FP Ranking'!$C$2:$C$544 )</f>
        <v>Jayden Higgins</v>
      </c>
      <c r="E157" s="8" t="b">
        <v>0</v>
      </c>
      <c r="F157" s="8" t="b">
        <v>0</v>
      </c>
      <c r="G157" s="1">
        <f xml:space="preserve"> _xlfn.XLOOKUP(  D157, 'ESPN Ranking'!$B$2:$B$544, 'ESPN Ranking'!$A$2:$A$544 )</f>
        <v>138</v>
      </c>
      <c r="H157" s="1">
        <f>_xlfn.XLOOKUP( C157, 'FP Ranking'!$A$2:$A$544, 'FP Ranking'!$B$2:$B$544 )</f>
        <v>8</v>
      </c>
      <c r="I157" s="1" t="str">
        <f>_xlfn.XLOOKUP( C157, 'FP Ranking'!$A$2:$A$544, 'FP Ranking'!$D$2:$D$544 )</f>
        <v>HOU</v>
      </c>
      <c r="J157" s="1" t="str" cm="1">
        <f t="array" ref="J157">LEFT(_xlfn.XLOOKUP(C157, 'FP Ranking'!$A$2:$A$544, 'FP Ranking'!$E$2:$E$544), MIN(SEARCH({1,2,3,4,5,6,7,8,9,0}, _xlfn.XLOOKUP(C157, 'FP Ranking'!$A$2:$A$544, 'FP Ranking'!$E$2:$E$544)&amp;{1,2,3,4,5,6,7,8,9,0}))-1)</f>
        <v>WR</v>
      </c>
      <c r="K157" s="1">
        <f t="shared" si="17"/>
        <v>-18</v>
      </c>
      <c r="L157" s="9">
        <f t="shared" si="18"/>
        <v>-2.7847328675930514E-2</v>
      </c>
      <c r="M157" s="2">
        <f t="shared" si="19"/>
        <v>0.1</v>
      </c>
    </row>
    <row r="158" spans="1:13" ht="13" x14ac:dyDescent="0.15">
      <c r="A158" s="7"/>
      <c r="B158" s="1">
        <f t="shared" si="16"/>
        <v>14</v>
      </c>
      <c r="C158" s="1">
        <v>157</v>
      </c>
      <c r="D158" s="1" t="str">
        <f>_xlfn.XLOOKUP( C158, 'FP Ranking'!$A$2:$A$544, 'FP Ranking'!$C$2:$C$544 )</f>
        <v>Jonnu Smith</v>
      </c>
      <c r="E158" s="8" t="b">
        <v>0</v>
      </c>
      <c r="F158" s="8" t="b">
        <v>0</v>
      </c>
      <c r="G158" s="1">
        <f xml:space="preserve"> _xlfn.XLOOKUP(  D158, 'ESPN Ranking'!$B$2:$B$544, 'ESPN Ranking'!$A$2:$A$544 )</f>
        <v>167</v>
      </c>
      <c r="H158" s="1">
        <f>_xlfn.XLOOKUP( C158, 'FP Ranking'!$A$2:$A$544, 'FP Ranking'!$B$2:$B$544 )</f>
        <v>8</v>
      </c>
      <c r="I158" s="1" t="str">
        <f>_xlfn.XLOOKUP( C158, 'FP Ranking'!$A$2:$A$544, 'FP Ranking'!$D$2:$D$544 )</f>
        <v>PIT</v>
      </c>
      <c r="J158" s="1" t="str" cm="1">
        <f t="array" ref="J158">LEFT(_xlfn.XLOOKUP(C158, 'FP Ranking'!$A$2:$A$544, 'FP Ranking'!$E$2:$E$544), MIN(SEARCH({1,2,3,4,5,6,7,8,9,0}, _xlfn.XLOOKUP(C158, 'FP Ranking'!$A$2:$A$544, 'FP Ranking'!$E$2:$E$544)&amp;{1,2,3,4,5,6,7,8,9,0}))-1)</f>
        <v>TE</v>
      </c>
      <c r="K158" s="1">
        <f t="shared" si="17"/>
        <v>10</v>
      </c>
      <c r="L158" s="9">
        <f t="shared" si="18"/>
        <v>1.5451187107510141E-2</v>
      </c>
      <c r="M158" s="2">
        <f t="shared" si="19"/>
        <v>0.71799999999999997</v>
      </c>
    </row>
    <row r="159" spans="1:13" ht="13" x14ac:dyDescent="0.15">
      <c r="A159" s="7"/>
      <c r="B159" s="1">
        <f t="shared" si="16"/>
        <v>14</v>
      </c>
      <c r="C159" s="1">
        <v>158</v>
      </c>
      <c r="D159" s="1" t="str">
        <f>_xlfn.XLOOKUP( C159, 'FP Ranking'!$A$2:$A$544, 'FP Ranking'!$C$2:$C$544 )</f>
        <v>Romeo Doubs</v>
      </c>
      <c r="E159" s="8" t="b">
        <v>0</v>
      </c>
      <c r="F159" s="8" t="b">
        <v>0</v>
      </c>
      <c r="G159" s="1">
        <f xml:space="preserve"> _xlfn.XLOOKUP(  D159, 'ESPN Ranking'!$B$2:$B$544, 'ESPN Ranking'!$A$2:$A$544 )</f>
        <v>158</v>
      </c>
      <c r="H159" s="1">
        <f>_xlfn.XLOOKUP( C159, 'FP Ranking'!$A$2:$A$544, 'FP Ranking'!$B$2:$B$544 )</f>
        <v>8</v>
      </c>
      <c r="I159" s="1" t="str">
        <f>_xlfn.XLOOKUP( C159, 'FP Ranking'!$A$2:$A$544, 'FP Ranking'!$D$2:$D$544 )</f>
        <v>GB</v>
      </c>
      <c r="J159" s="1" t="str" cm="1">
        <f t="array" ref="J159">LEFT(_xlfn.XLOOKUP(C159, 'FP Ranking'!$A$2:$A$544, 'FP Ranking'!$E$2:$E$544), MIN(SEARCH({1,2,3,4,5,6,7,8,9,0}, _xlfn.XLOOKUP(C159, 'FP Ranking'!$A$2:$A$544, 'FP Ranking'!$E$2:$E$544)&amp;{1,2,3,4,5,6,7,8,9,0}))-1)</f>
        <v>WR</v>
      </c>
      <c r="K159" s="1">
        <f t="shared" si="17"/>
        <v>0</v>
      </c>
      <c r="L159" s="9">
        <f t="shared" si="18"/>
        <v>0</v>
      </c>
      <c r="M159" s="2">
        <f t="shared" si="19"/>
        <v>0.437</v>
      </c>
    </row>
    <row r="160" spans="1:13" ht="13" x14ac:dyDescent="0.15">
      <c r="A160" s="7"/>
      <c r="B160" s="1">
        <f t="shared" si="16"/>
        <v>14</v>
      </c>
      <c r="C160" s="1">
        <v>159</v>
      </c>
      <c r="D160" s="1" t="str">
        <f>_xlfn.XLOOKUP( C160, 'FP Ranking'!$A$2:$A$544, 'FP Ranking'!$C$2:$C$544 )</f>
        <v>Ollie Gordon II</v>
      </c>
      <c r="E160" s="8" t="b">
        <v>0</v>
      </c>
      <c r="F160" s="8" t="b">
        <v>0</v>
      </c>
      <c r="G160" s="1">
        <f xml:space="preserve"> _xlfn.XLOOKUP(  D160, 'ESPN Ranking'!$B$2:$B$544, 'ESPN Ranking'!$A$2:$A$544 )</f>
        <v>151</v>
      </c>
      <c r="H160" s="1">
        <f>_xlfn.XLOOKUP( C160, 'FP Ranking'!$A$2:$A$544, 'FP Ranking'!$B$2:$B$544 )</f>
        <v>8</v>
      </c>
      <c r="I160" s="1" t="str">
        <f>_xlfn.XLOOKUP( C160, 'FP Ranking'!$A$2:$A$544, 'FP Ranking'!$D$2:$D$544 )</f>
        <v>MIA</v>
      </c>
      <c r="J160" s="1" t="str" cm="1">
        <f t="array" ref="J160">LEFT(_xlfn.XLOOKUP(C160, 'FP Ranking'!$A$2:$A$544, 'FP Ranking'!$E$2:$E$544), MIN(SEARCH({1,2,3,4,5,6,7,8,9,0}, _xlfn.XLOOKUP(C160, 'FP Ranking'!$A$2:$A$544, 'FP Ranking'!$E$2:$E$544)&amp;{1,2,3,4,5,6,7,8,9,0}))-1)</f>
        <v>RB</v>
      </c>
      <c r="K160" s="1">
        <f t="shared" si="17"/>
        <v>-8</v>
      </c>
      <c r="L160" s="9">
        <f t="shared" si="18"/>
        <v>-1.2330081119430973E-2</v>
      </c>
      <c r="M160" s="2">
        <f t="shared" si="19"/>
        <v>0.22600000000000001</v>
      </c>
    </row>
    <row r="161" spans="1:13" ht="13" x14ac:dyDescent="0.15">
      <c r="A161" s="7"/>
      <c r="B161" s="1">
        <f t="shared" si="16"/>
        <v>14</v>
      </c>
      <c r="C161" s="1">
        <v>160</v>
      </c>
      <c r="D161" s="1" t="str">
        <f>_xlfn.XLOOKUP( C161, 'FP Ranking'!$A$2:$A$544, 'FP Ranking'!$C$2:$C$544 )</f>
        <v>Matthew Stafford</v>
      </c>
      <c r="E161" s="8" t="b">
        <v>0</v>
      </c>
      <c r="F161" s="8" t="b">
        <v>0</v>
      </c>
      <c r="G161" s="1">
        <f xml:space="preserve"> _xlfn.XLOOKUP(  D161, 'ESPN Ranking'!$B$2:$B$544, 'ESPN Ranking'!$A$2:$A$544 )</f>
        <v>145</v>
      </c>
      <c r="H161" s="1">
        <f>_xlfn.XLOOKUP( C161, 'FP Ranking'!$A$2:$A$544, 'FP Ranking'!$B$2:$B$544 )</f>
        <v>8</v>
      </c>
      <c r="I161" s="1" t="str">
        <f>_xlfn.XLOOKUP( C161, 'FP Ranking'!$A$2:$A$544, 'FP Ranking'!$D$2:$D$544 )</f>
        <v>LAR</v>
      </c>
      <c r="J161" s="1" t="str" cm="1">
        <f t="array" ref="J161">LEFT(_xlfn.XLOOKUP(C161, 'FP Ranking'!$A$2:$A$544, 'FP Ranking'!$E$2:$E$544), MIN(SEARCH({1,2,3,4,5,6,7,8,9,0}, _xlfn.XLOOKUP(C161, 'FP Ranking'!$A$2:$A$544, 'FP Ranking'!$E$2:$E$544)&amp;{1,2,3,4,5,6,7,8,9,0}))-1)</f>
        <v>QB</v>
      </c>
      <c r="K161" s="1">
        <f t="shared" si="17"/>
        <v>-15</v>
      </c>
      <c r="L161" s="9">
        <f t="shared" si="18"/>
        <v>-2.3090342176704515E-2</v>
      </c>
      <c r="M161" s="2">
        <f t="shared" si="19"/>
        <v>0.13</v>
      </c>
    </row>
    <row r="162" spans="1:13" ht="13" x14ac:dyDescent="0.15">
      <c r="A162" s="7"/>
      <c r="B162" s="1">
        <f t="shared" ref="B162:B193" si="20">ROUNDUP( $C162 / 12,0)</f>
        <v>14</v>
      </c>
      <c r="C162" s="1">
        <v>161</v>
      </c>
      <c r="D162" s="1" t="str">
        <f>_xlfn.XLOOKUP( C162, 'FP Ranking'!$A$2:$A$544, 'FP Ranking'!$C$2:$C$544 )</f>
        <v>Rico Dowdle</v>
      </c>
      <c r="E162" s="8" t="b">
        <v>0</v>
      </c>
      <c r="F162" s="8" t="b">
        <v>0</v>
      </c>
      <c r="G162" s="1">
        <f xml:space="preserve"> _xlfn.XLOOKUP(  D162, 'ESPN Ranking'!$B$2:$B$544, 'ESPN Ranking'!$A$2:$A$544 )</f>
        <v>213</v>
      </c>
      <c r="H162" s="1">
        <f>_xlfn.XLOOKUP( C162, 'FP Ranking'!$A$2:$A$544, 'FP Ranking'!$B$2:$B$544 )</f>
        <v>8</v>
      </c>
      <c r="I162" s="1" t="str">
        <f>_xlfn.XLOOKUP( C162, 'FP Ranking'!$A$2:$A$544, 'FP Ranking'!$D$2:$D$544 )</f>
        <v>CAR</v>
      </c>
      <c r="J162" s="1" t="str" cm="1">
        <f t="array" ref="J162">LEFT(_xlfn.XLOOKUP(C162, 'FP Ranking'!$A$2:$A$544, 'FP Ranking'!$E$2:$E$544), MIN(SEARCH({1,2,3,4,5,6,7,8,9,0}, _xlfn.XLOOKUP(C162, 'FP Ranking'!$A$2:$A$544, 'FP Ranking'!$E$2:$E$544)&amp;{1,2,3,4,5,6,7,8,9,0}))-1)</f>
        <v>RB</v>
      </c>
      <c r="K162" s="1">
        <f t="shared" ref="K162:K193" si="21">G162 - C162</f>
        <v>52</v>
      </c>
      <c r="L162" s="9">
        <f t="shared" ref="L162:L193" si="22">( K162 / -LN( 1 / ( C162^128 + 1 ) ) )</f>
        <v>7.9948370729839E-2</v>
      </c>
      <c r="M162" s="2">
        <f t="shared" ref="M162:M193" si="23">PERCENTRANK( $L$2:$L$251, L162 )</f>
        <v>0.93899999999999995</v>
      </c>
    </row>
    <row r="163" spans="1:13" ht="13" x14ac:dyDescent="0.15">
      <c r="A163" s="7"/>
      <c r="B163" s="1">
        <f t="shared" si="20"/>
        <v>14</v>
      </c>
      <c r="C163" s="1">
        <v>162</v>
      </c>
      <c r="D163" s="1" t="str">
        <f>_xlfn.XLOOKUP( C163, 'FP Ranking'!$A$2:$A$544, 'FP Ranking'!$C$2:$C$544 )</f>
        <v>DeMario Douglas</v>
      </c>
      <c r="E163" s="8" t="b">
        <v>0</v>
      </c>
      <c r="F163" s="8" t="b">
        <v>0</v>
      </c>
      <c r="G163" s="1">
        <f xml:space="preserve"> _xlfn.XLOOKUP(  D163, 'ESPN Ranking'!$B$2:$B$544, 'ESPN Ranking'!$A$2:$A$544 )</f>
        <v>153</v>
      </c>
      <c r="H163" s="1">
        <f>_xlfn.XLOOKUP( C163, 'FP Ranking'!$A$2:$A$544, 'FP Ranking'!$B$2:$B$544 )</f>
        <v>8</v>
      </c>
      <c r="I163" s="1" t="str">
        <f>_xlfn.XLOOKUP( C163, 'FP Ranking'!$A$2:$A$544, 'FP Ranking'!$D$2:$D$544 )</f>
        <v>NE</v>
      </c>
      <c r="J163" s="1" t="str" cm="1">
        <f t="array" ref="J163">LEFT(_xlfn.XLOOKUP(C163, 'FP Ranking'!$A$2:$A$544, 'FP Ranking'!$E$2:$E$544), MIN(SEARCH({1,2,3,4,5,6,7,8,9,0}, _xlfn.XLOOKUP(C163, 'FP Ranking'!$A$2:$A$544, 'FP Ranking'!$E$2:$E$544)&amp;{1,2,3,4,5,6,7,8,9,0}))-1)</f>
        <v>WR</v>
      </c>
      <c r="K163" s="1">
        <f t="shared" si="21"/>
        <v>-9</v>
      </c>
      <c r="L163" s="9">
        <f t="shared" si="22"/>
        <v>-1.382037712250777E-2</v>
      </c>
      <c r="M163" s="2">
        <f t="shared" si="23"/>
        <v>0.20599999999999999</v>
      </c>
    </row>
    <row r="164" spans="1:13" ht="13" x14ac:dyDescent="0.15">
      <c r="A164" s="7"/>
      <c r="B164" s="1">
        <f t="shared" si="20"/>
        <v>14</v>
      </c>
      <c r="C164" s="1">
        <v>163</v>
      </c>
      <c r="D164" s="1" t="str">
        <f>_xlfn.XLOOKUP( C164, 'FP Ranking'!$A$2:$A$544, 'FP Ranking'!$C$2:$C$544 )</f>
        <v>Marquise Brown</v>
      </c>
      <c r="E164" s="8" t="b">
        <v>0</v>
      </c>
      <c r="F164" s="8" t="b">
        <v>0</v>
      </c>
      <c r="G164" s="1">
        <f xml:space="preserve"> _xlfn.XLOOKUP(  D164, 'ESPN Ranking'!$B$2:$B$544, 'ESPN Ranking'!$A$2:$A$544 )</f>
        <v>137</v>
      </c>
      <c r="H164" s="1">
        <f>_xlfn.XLOOKUP( C164, 'FP Ranking'!$A$2:$A$544, 'FP Ranking'!$B$2:$B$544 )</f>
        <v>8</v>
      </c>
      <c r="I164" s="1" t="str">
        <f>_xlfn.XLOOKUP( C164, 'FP Ranking'!$A$2:$A$544, 'FP Ranking'!$D$2:$D$544 )</f>
        <v>KC</v>
      </c>
      <c r="J164" s="1" t="str" cm="1">
        <f t="array" ref="J164">LEFT(_xlfn.XLOOKUP(C164, 'FP Ranking'!$A$2:$A$544, 'FP Ranking'!$E$2:$E$544), MIN(SEARCH({1,2,3,4,5,6,7,8,9,0}, _xlfn.XLOOKUP(C164, 'FP Ranking'!$A$2:$A$544, 'FP Ranking'!$E$2:$E$544)&amp;{1,2,3,4,5,6,7,8,9,0}))-1)</f>
        <v>WR</v>
      </c>
      <c r="K164" s="1">
        <f t="shared" si="21"/>
        <v>-26</v>
      </c>
      <c r="L164" s="9">
        <f t="shared" si="22"/>
        <v>-3.9877299041446615E-2</v>
      </c>
      <c r="M164" s="2">
        <f t="shared" si="23"/>
        <v>0.04</v>
      </c>
    </row>
    <row r="165" spans="1:13" ht="13" x14ac:dyDescent="0.15">
      <c r="A165" s="7"/>
      <c r="B165" s="1">
        <f t="shared" si="20"/>
        <v>14</v>
      </c>
      <c r="C165" s="1">
        <v>164</v>
      </c>
      <c r="D165" s="1" t="str">
        <f>_xlfn.XLOOKUP( C165, 'FP Ranking'!$A$2:$A$544, 'FP Ranking'!$C$2:$C$544 )</f>
        <v>Joshua Palmer</v>
      </c>
      <c r="E165" s="8" t="b">
        <v>0</v>
      </c>
      <c r="F165" s="8" t="b">
        <v>0</v>
      </c>
      <c r="G165" s="1">
        <f xml:space="preserve"> _xlfn.XLOOKUP(  D165, 'ESPN Ranking'!$B$2:$B$544, 'ESPN Ranking'!$A$2:$A$544 )</f>
        <v>157</v>
      </c>
      <c r="H165" s="1">
        <f>_xlfn.XLOOKUP( C165, 'FP Ranking'!$A$2:$A$544, 'FP Ranking'!$B$2:$B$544 )</f>
        <v>8</v>
      </c>
      <c r="I165" s="1" t="str">
        <f>_xlfn.XLOOKUP( C165, 'FP Ranking'!$A$2:$A$544, 'FP Ranking'!$D$2:$D$544 )</f>
        <v>BUF</v>
      </c>
      <c r="J165" s="1" t="str" cm="1">
        <f t="array" ref="J165">LEFT(_xlfn.XLOOKUP(C165, 'FP Ranking'!$A$2:$A$544, 'FP Ranking'!$E$2:$E$544), MIN(SEARCH({1,2,3,4,5,6,7,8,9,0}, _xlfn.XLOOKUP(C165, 'FP Ranking'!$A$2:$A$544, 'FP Ranking'!$E$2:$E$544)&amp;{1,2,3,4,5,6,7,8,9,0}))-1)</f>
        <v>WR</v>
      </c>
      <c r="K165" s="1">
        <f t="shared" si="21"/>
        <v>-7</v>
      </c>
      <c r="L165" s="9">
        <f t="shared" si="22"/>
        <v>-1.0723320066116284E-2</v>
      </c>
      <c r="M165" s="2">
        <f t="shared" si="23"/>
        <v>0.26100000000000001</v>
      </c>
    </row>
    <row r="166" spans="1:13" ht="13" x14ac:dyDescent="0.15">
      <c r="A166" s="7"/>
      <c r="B166" s="1">
        <f t="shared" si="20"/>
        <v>14</v>
      </c>
      <c r="C166" s="1">
        <v>165</v>
      </c>
      <c r="D166" s="1" t="str">
        <f>_xlfn.XLOOKUP( C166, 'FP Ranking'!$A$2:$A$544, 'FP Ranking'!$C$2:$C$544 )</f>
        <v>Adam Thielen</v>
      </c>
      <c r="E166" s="8" t="b">
        <v>0</v>
      </c>
      <c r="F166" s="8" t="b">
        <v>0</v>
      </c>
      <c r="G166" s="1">
        <f xml:space="preserve"> _xlfn.XLOOKUP(  D166, 'ESPN Ranking'!$B$2:$B$544, 'ESPN Ranking'!$A$2:$A$544 )</f>
        <v>201</v>
      </c>
      <c r="H166" s="1">
        <f>_xlfn.XLOOKUP( C166, 'FP Ranking'!$A$2:$A$544, 'FP Ranking'!$B$2:$B$544 )</f>
        <v>8</v>
      </c>
      <c r="I166" s="1" t="str">
        <f>_xlfn.XLOOKUP( C166, 'FP Ranking'!$A$2:$A$544, 'FP Ranking'!$D$2:$D$544 )</f>
        <v>MIN</v>
      </c>
      <c r="J166" s="1" t="str" cm="1">
        <f t="array" ref="J166">LEFT(_xlfn.XLOOKUP(C166, 'FP Ranking'!$A$2:$A$544, 'FP Ranking'!$E$2:$E$544), MIN(SEARCH({1,2,3,4,5,6,7,8,9,0}, _xlfn.XLOOKUP(C166, 'FP Ranking'!$A$2:$A$544, 'FP Ranking'!$E$2:$E$544)&amp;{1,2,3,4,5,6,7,8,9,0}))-1)</f>
        <v>WR</v>
      </c>
      <c r="K166" s="1">
        <f t="shared" si="21"/>
        <v>36</v>
      </c>
      <c r="L166" s="9">
        <f t="shared" si="22"/>
        <v>5.5082844389473071E-2</v>
      </c>
      <c r="M166" s="2">
        <f t="shared" si="23"/>
        <v>0.89400000000000002</v>
      </c>
    </row>
    <row r="167" spans="1:13" ht="13" x14ac:dyDescent="0.15">
      <c r="A167" s="7"/>
      <c r="B167" s="1">
        <f t="shared" si="20"/>
        <v>14</v>
      </c>
      <c r="C167" s="1">
        <v>166</v>
      </c>
      <c r="D167" s="1" t="str">
        <f>_xlfn.XLOOKUP( C167, 'FP Ranking'!$A$2:$A$544, 'FP Ranking'!$C$2:$C$544 )</f>
        <v>Wan'Dale Robinson</v>
      </c>
      <c r="E167" s="8" t="b">
        <v>0</v>
      </c>
      <c r="F167" s="8" t="b">
        <v>0</v>
      </c>
      <c r="G167" s="1">
        <f xml:space="preserve"> _xlfn.XLOOKUP(  D167, 'ESPN Ranking'!$B$2:$B$544, 'ESPN Ranking'!$A$2:$A$544 )</f>
        <v>139</v>
      </c>
      <c r="H167" s="1">
        <f>_xlfn.XLOOKUP( C167, 'FP Ranking'!$A$2:$A$544, 'FP Ranking'!$B$2:$B$544 )</f>
        <v>8</v>
      </c>
      <c r="I167" s="1" t="str">
        <f>_xlfn.XLOOKUP( C167, 'FP Ranking'!$A$2:$A$544, 'FP Ranking'!$D$2:$D$544 )</f>
        <v>NYG</v>
      </c>
      <c r="J167" s="1" t="str" cm="1">
        <f t="array" ref="J167">LEFT(_xlfn.XLOOKUP(C167, 'FP Ranking'!$A$2:$A$544, 'FP Ranking'!$E$2:$E$544), MIN(SEARCH({1,2,3,4,5,6,7,8,9,0}, _xlfn.XLOOKUP(C167, 'FP Ranking'!$A$2:$A$544, 'FP Ranking'!$E$2:$E$544)&amp;{1,2,3,4,5,6,7,8,9,0}))-1)</f>
        <v>WR</v>
      </c>
      <c r="K167" s="1">
        <f t="shared" si="21"/>
        <v>-27</v>
      </c>
      <c r="L167" s="9">
        <f t="shared" si="22"/>
        <v>-4.1263302795919714E-2</v>
      </c>
      <c r="M167" s="2">
        <f t="shared" si="23"/>
        <v>3.5000000000000003E-2</v>
      </c>
    </row>
    <row r="168" spans="1:13" ht="13" x14ac:dyDescent="0.15">
      <c r="A168" s="7"/>
      <c r="B168" s="1">
        <f t="shared" si="20"/>
        <v>14</v>
      </c>
      <c r="C168" s="1">
        <v>167</v>
      </c>
      <c r="D168" s="1" t="str">
        <f>_xlfn.XLOOKUP( C168, 'FP Ranking'!$A$2:$A$544, 'FP Ranking'!$C$2:$C$544 )</f>
        <v>Cam Ward</v>
      </c>
      <c r="E168" s="8" t="b">
        <v>0</v>
      </c>
      <c r="F168" s="8" t="b">
        <v>0</v>
      </c>
      <c r="G168" s="1">
        <f xml:space="preserve"> _xlfn.XLOOKUP(  D168, 'ESPN Ranking'!$B$2:$B$544, 'ESPN Ranking'!$A$2:$A$544 )</f>
        <v>199</v>
      </c>
      <c r="H168" s="1">
        <f>_xlfn.XLOOKUP( C168, 'FP Ranking'!$A$2:$A$544, 'FP Ranking'!$B$2:$B$544 )</f>
        <v>8</v>
      </c>
      <c r="I168" s="1" t="str">
        <f>_xlfn.XLOOKUP( C168, 'FP Ranking'!$A$2:$A$544, 'FP Ranking'!$D$2:$D$544 )</f>
        <v>TEN</v>
      </c>
      <c r="J168" s="1" t="str" cm="1">
        <f t="array" ref="J168">LEFT(_xlfn.XLOOKUP(C168, 'FP Ranking'!$A$2:$A$544, 'FP Ranking'!$E$2:$E$544), MIN(SEARCH({1,2,3,4,5,6,7,8,9,0}, _xlfn.XLOOKUP(C168, 'FP Ranking'!$A$2:$A$544, 'FP Ranking'!$E$2:$E$544)&amp;{1,2,3,4,5,6,7,8,9,0}))-1)</f>
        <v>QB</v>
      </c>
      <c r="K168" s="1">
        <f t="shared" si="21"/>
        <v>32</v>
      </c>
      <c r="L168" s="9">
        <f t="shared" si="22"/>
        <v>4.8847264995411963E-2</v>
      </c>
      <c r="M168" s="2">
        <f t="shared" si="23"/>
        <v>0.86899999999999999</v>
      </c>
    </row>
    <row r="169" spans="1:13" ht="13" x14ac:dyDescent="0.15">
      <c r="A169" s="7"/>
      <c r="B169" s="1">
        <f t="shared" si="20"/>
        <v>14</v>
      </c>
      <c r="C169" s="1">
        <v>168</v>
      </c>
      <c r="D169" s="1" t="str">
        <f>_xlfn.XLOOKUP( C169, 'FP Ranking'!$A$2:$A$544, 'FP Ranking'!$C$2:$C$544 )</f>
        <v>Xavier Legette</v>
      </c>
      <c r="E169" s="8" t="b">
        <v>0</v>
      </c>
      <c r="F169" s="8" t="b">
        <v>0</v>
      </c>
      <c r="G169" s="1">
        <f xml:space="preserve"> _xlfn.XLOOKUP(  D169, 'ESPN Ranking'!$B$2:$B$544, 'ESPN Ranking'!$A$2:$A$544 )</f>
        <v>112</v>
      </c>
      <c r="H169" s="1">
        <f>_xlfn.XLOOKUP( C169, 'FP Ranking'!$A$2:$A$544, 'FP Ranking'!$B$2:$B$544 )</f>
        <v>8</v>
      </c>
      <c r="I169" s="1" t="str">
        <f>_xlfn.XLOOKUP( C169, 'FP Ranking'!$A$2:$A$544, 'FP Ranking'!$D$2:$D$544 )</f>
        <v>CAR</v>
      </c>
      <c r="J169" s="1" t="str" cm="1">
        <f t="array" ref="J169">LEFT(_xlfn.XLOOKUP(C169, 'FP Ranking'!$A$2:$A$544, 'FP Ranking'!$E$2:$E$544), MIN(SEARCH({1,2,3,4,5,6,7,8,9,0}, _xlfn.XLOOKUP(C169, 'FP Ranking'!$A$2:$A$544, 'FP Ranking'!$E$2:$E$544)&amp;{1,2,3,4,5,6,7,8,9,0}))-1)</f>
        <v>WR</v>
      </c>
      <c r="K169" s="1">
        <f t="shared" si="21"/>
        <v>-56</v>
      </c>
      <c r="L169" s="9">
        <f t="shared" si="22"/>
        <v>-8.5383113885775519E-2</v>
      </c>
      <c r="M169" s="2">
        <f t="shared" si="23"/>
        <v>0</v>
      </c>
    </row>
    <row r="170" spans="1:13" ht="13" x14ac:dyDescent="0.15">
      <c r="A170" s="7"/>
      <c r="B170" s="1">
        <f t="shared" si="20"/>
        <v>15</v>
      </c>
      <c r="C170" s="1">
        <v>169</v>
      </c>
      <c r="D170" s="1" t="str">
        <f>_xlfn.XLOOKUP( C170, 'FP Ranking'!$A$2:$A$544, 'FP Ranking'!$C$2:$C$544 )</f>
        <v>Brenton Strange</v>
      </c>
      <c r="E170" s="8" t="b">
        <v>0</v>
      </c>
      <c r="F170" s="8" t="b">
        <v>0</v>
      </c>
      <c r="G170" s="1">
        <f xml:space="preserve"> _xlfn.XLOOKUP(  D170, 'ESPN Ranking'!$B$2:$B$544, 'ESPN Ranking'!$A$2:$A$544 )</f>
        <v>166</v>
      </c>
      <c r="H170" s="1">
        <f>_xlfn.XLOOKUP( C170, 'FP Ranking'!$A$2:$A$544, 'FP Ranking'!$B$2:$B$544 )</f>
        <v>8</v>
      </c>
      <c r="I170" s="1" t="str">
        <f>_xlfn.XLOOKUP( C170, 'FP Ranking'!$A$2:$A$544, 'FP Ranking'!$D$2:$D$544 )</f>
        <v>JAC</v>
      </c>
      <c r="J170" s="1" t="str" cm="1">
        <f t="array" ref="J170">LEFT(_xlfn.XLOOKUP(C170, 'FP Ranking'!$A$2:$A$544, 'FP Ranking'!$E$2:$E$544), MIN(SEARCH({1,2,3,4,5,6,7,8,9,0}, _xlfn.XLOOKUP(C170, 'FP Ranking'!$A$2:$A$544, 'FP Ranking'!$E$2:$E$544)&amp;{1,2,3,4,5,6,7,8,9,0}))-1)</f>
        <v>TE</v>
      </c>
      <c r="K170" s="1">
        <f t="shared" si="21"/>
        <v>-3</v>
      </c>
      <c r="L170" s="9">
        <f t="shared" si="22"/>
        <v>-4.5688036552884378E-3</v>
      </c>
      <c r="M170" s="2">
        <f t="shared" si="23"/>
        <v>0.376</v>
      </c>
    </row>
    <row r="171" spans="1:13" ht="13" x14ac:dyDescent="0.15">
      <c r="A171" s="7"/>
      <c r="B171" s="1">
        <f t="shared" si="20"/>
        <v>15</v>
      </c>
      <c r="C171" s="1">
        <v>170</v>
      </c>
      <c r="D171" s="1" t="str">
        <f>_xlfn.XLOOKUP( C171, 'FP Ranking'!$A$2:$A$544, 'FP Ranking'!$C$2:$C$544 )</f>
        <v>Chig Okonkwo</v>
      </c>
      <c r="E171" s="8" t="b">
        <v>0</v>
      </c>
      <c r="F171" s="8" t="b">
        <v>0</v>
      </c>
      <c r="G171" s="1">
        <f xml:space="preserve"> _xlfn.XLOOKUP(  D171, 'ESPN Ranking'!$B$2:$B$544, 'ESPN Ranking'!$A$2:$A$544 )</f>
        <v>206</v>
      </c>
      <c r="H171" s="1">
        <f>_xlfn.XLOOKUP( C171, 'FP Ranking'!$A$2:$A$544, 'FP Ranking'!$B$2:$B$544 )</f>
        <v>9</v>
      </c>
      <c r="I171" s="1" t="str">
        <f>_xlfn.XLOOKUP( C171, 'FP Ranking'!$A$2:$A$544, 'FP Ranking'!$D$2:$D$544 )</f>
        <v>TEN</v>
      </c>
      <c r="J171" s="1" t="str" cm="1">
        <f t="array" ref="J171">LEFT(_xlfn.XLOOKUP(C171, 'FP Ranking'!$A$2:$A$544, 'FP Ranking'!$E$2:$E$544), MIN(SEARCH({1,2,3,4,5,6,7,8,9,0}, _xlfn.XLOOKUP(C171, 'FP Ranking'!$A$2:$A$544, 'FP Ranking'!$E$2:$E$544)&amp;{1,2,3,4,5,6,7,8,9,0}))-1)</f>
        <v>TE</v>
      </c>
      <c r="K171" s="1">
        <f t="shared" si="21"/>
        <v>36</v>
      </c>
      <c r="L171" s="9">
        <f t="shared" si="22"/>
        <v>5.4762663186122919E-2</v>
      </c>
      <c r="M171" s="2">
        <f t="shared" si="23"/>
        <v>0.88900000000000001</v>
      </c>
    </row>
    <row r="172" spans="1:13" ht="13" x14ac:dyDescent="0.15">
      <c r="A172" s="7"/>
      <c r="B172" s="1">
        <f t="shared" si="20"/>
        <v>15</v>
      </c>
      <c r="C172" s="1">
        <v>171</v>
      </c>
      <c r="D172" s="1" t="str">
        <f>_xlfn.XLOOKUP( C172, 'FP Ranking'!$A$2:$A$544, 'FP Ranking'!$C$2:$C$544 )</f>
        <v>Kyle Williams</v>
      </c>
      <c r="E172" s="8" t="b">
        <v>0</v>
      </c>
      <c r="F172" s="8" t="b">
        <v>0</v>
      </c>
      <c r="G172" s="1">
        <f xml:space="preserve"> _xlfn.XLOOKUP(  D172, 'ESPN Ranking'!$B$2:$B$544, 'ESPN Ranking'!$A$2:$A$544 )</f>
        <v>371</v>
      </c>
      <c r="H172" s="1">
        <f>_xlfn.XLOOKUP( C172, 'FP Ranking'!$A$2:$A$544, 'FP Ranking'!$B$2:$B$544 )</f>
        <v>9</v>
      </c>
      <c r="I172" s="1" t="str">
        <f>_xlfn.XLOOKUP( C172, 'FP Ranking'!$A$2:$A$544, 'FP Ranking'!$D$2:$D$544 )</f>
        <v>NE</v>
      </c>
      <c r="J172" s="1" t="str" cm="1">
        <f t="array" ref="J172">LEFT(_xlfn.XLOOKUP(C172, 'FP Ranking'!$A$2:$A$544, 'FP Ranking'!$E$2:$E$544), MIN(SEARCH({1,2,3,4,5,6,7,8,9,0}, _xlfn.XLOOKUP(C172, 'FP Ranking'!$A$2:$A$544, 'FP Ranking'!$E$2:$E$544)&amp;{1,2,3,4,5,6,7,8,9,0}))-1)</f>
        <v>WR</v>
      </c>
      <c r="K172" s="1">
        <f t="shared" si="21"/>
        <v>200</v>
      </c>
      <c r="L172" s="9">
        <f t="shared" si="22"/>
        <v>0.30388997312434157</v>
      </c>
      <c r="M172" s="2">
        <f t="shared" si="23"/>
        <v>1</v>
      </c>
    </row>
    <row r="173" spans="1:13" ht="13" x14ac:dyDescent="0.15">
      <c r="A173" s="7"/>
      <c r="B173" s="1">
        <f t="shared" si="20"/>
        <v>15</v>
      </c>
      <c r="C173" s="1">
        <v>172</v>
      </c>
      <c r="D173" s="1" t="str">
        <f>_xlfn.XLOOKUP( C173, 'FP Ranking'!$A$2:$A$544, 'FP Ranking'!$C$2:$C$544 )</f>
        <v>Quentin Johnston</v>
      </c>
      <c r="E173" s="8" t="b">
        <v>0</v>
      </c>
      <c r="F173" s="8" t="b">
        <v>0</v>
      </c>
      <c r="G173" s="1">
        <f xml:space="preserve"> _xlfn.XLOOKUP(  D173, 'ESPN Ranking'!$B$2:$B$544, 'ESPN Ranking'!$A$2:$A$544 )</f>
        <v>228</v>
      </c>
      <c r="H173" s="1">
        <f>_xlfn.XLOOKUP( C173, 'FP Ranking'!$A$2:$A$544, 'FP Ranking'!$B$2:$B$544 )</f>
        <v>9</v>
      </c>
      <c r="I173" s="1" t="str">
        <f>_xlfn.XLOOKUP( C173, 'FP Ranking'!$A$2:$A$544, 'FP Ranking'!$D$2:$D$544 )</f>
        <v>LAC</v>
      </c>
      <c r="J173" s="1" t="str" cm="1">
        <f t="array" ref="J173">LEFT(_xlfn.XLOOKUP(C173, 'FP Ranking'!$A$2:$A$544, 'FP Ranking'!$E$2:$E$544), MIN(SEARCH({1,2,3,4,5,6,7,8,9,0}, _xlfn.XLOOKUP(C173, 'FP Ranking'!$A$2:$A$544, 'FP Ranking'!$E$2:$E$544)&amp;{1,2,3,4,5,6,7,8,9,0}))-1)</f>
        <v>WR</v>
      </c>
      <c r="K173" s="1">
        <f t="shared" si="21"/>
        <v>56</v>
      </c>
      <c r="L173" s="9">
        <f t="shared" si="22"/>
        <v>8.4992806106094859E-2</v>
      </c>
      <c r="M173" s="2">
        <f t="shared" si="23"/>
        <v>0.94899999999999995</v>
      </c>
    </row>
    <row r="174" spans="1:13" ht="13" x14ac:dyDescent="0.15">
      <c r="A174" s="7"/>
      <c r="B174" s="1">
        <f t="shared" si="20"/>
        <v>15</v>
      </c>
      <c r="C174" s="1">
        <v>173</v>
      </c>
      <c r="D174" s="1" t="str">
        <f>_xlfn.XLOOKUP( C174, 'FP Ranking'!$A$2:$A$544, 'FP Ranking'!$C$2:$C$544 )</f>
        <v>Woody Marks</v>
      </c>
      <c r="E174" s="8" t="b">
        <v>0</v>
      </c>
      <c r="F174" s="8" t="b">
        <v>0</v>
      </c>
      <c r="G174" s="1">
        <f xml:space="preserve"> _xlfn.XLOOKUP(  D174, 'ESPN Ranking'!$B$2:$B$544, 'ESPN Ranking'!$A$2:$A$544 )</f>
        <v>160</v>
      </c>
      <c r="H174" s="1">
        <f>_xlfn.XLOOKUP( C174, 'FP Ranking'!$A$2:$A$544, 'FP Ranking'!$B$2:$B$544 )</f>
        <v>9</v>
      </c>
      <c r="I174" s="1" t="str">
        <f>_xlfn.XLOOKUP( C174, 'FP Ranking'!$A$2:$A$544, 'FP Ranking'!$D$2:$D$544 )</f>
        <v>HOU</v>
      </c>
      <c r="J174" s="1" t="str" cm="1">
        <f t="array" ref="J174">LEFT(_xlfn.XLOOKUP(C174, 'FP Ranking'!$A$2:$A$544, 'FP Ranking'!$E$2:$E$544), MIN(SEARCH({1,2,3,4,5,6,7,8,9,0}, _xlfn.XLOOKUP(C174, 'FP Ranking'!$A$2:$A$544, 'FP Ranking'!$E$2:$E$544)&amp;{1,2,3,4,5,6,7,8,9,0}))-1)</f>
        <v>RB</v>
      </c>
      <c r="K174" s="1">
        <f t="shared" si="21"/>
        <v>-13</v>
      </c>
      <c r="L174" s="9">
        <f t="shared" si="22"/>
        <v>-1.9708277348101027E-2</v>
      </c>
      <c r="M174" s="2">
        <f t="shared" si="23"/>
        <v>0.16</v>
      </c>
    </row>
    <row r="175" spans="1:13" ht="13" x14ac:dyDescent="0.15">
      <c r="A175" s="7"/>
      <c r="B175" s="1">
        <f t="shared" si="20"/>
        <v>15</v>
      </c>
      <c r="C175" s="1">
        <v>174</v>
      </c>
      <c r="D175" s="1" t="str">
        <f>_xlfn.XLOOKUP( C175, 'FP Ranking'!$A$2:$A$544, 'FP Ranking'!$C$2:$C$544 )</f>
        <v>Sam Darnold</v>
      </c>
      <c r="E175" s="8" t="b">
        <v>0</v>
      </c>
      <c r="F175" s="8" t="b">
        <v>0</v>
      </c>
      <c r="G175" s="1">
        <f xml:space="preserve"> _xlfn.XLOOKUP(  D175, 'ESPN Ranking'!$B$2:$B$544, 'ESPN Ranking'!$A$2:$A$544 )</f>
        <v>220</v>
      </c>
      <c r="H175" s="1">
        <f>_xlfn.XLOOKUP( C175, 'FP Ranking'!$A$2:$A$544, 'FP Ranking'!$B$2:$B$544 )</f>
        <v>9</v>
      </c>
      <c r="I175" s="1" t="str">
        <f>_xlfn.XLOOKUP( C175, 'FP Ranking'!$A$2:$A$544, 'FP Ranking'!$D$2:$D$544 )</f>
        <v>SEA</v>
      </c>
      <c r="J175" s="1" t="str" cm="1">
        <f t="array" ref="J175">LEFT(_xlfn.XLOOKUP(C175, 'FP Ranking'!$A$2:$A$544, 'FP Ranking'!$E$2:$E$544), MIN(SEARCH({1,2,3,4,5,6,7,8,9,0}, _xlfn.XLOOKUP(C175, 'FP Ranking'!$A$2:$A$544, 'FP Ranking'!$E$2:$E$544)&amp;{1,2,3,4,5,6,7,8,9,0}))-1)</f>
        <v>QB</v>
      </c>
      <c r="K175" s="1">
        <f t="shared" si="21"/>
        <v>46</v>
      </c>
      <c r="L175" s="9">
        <f t="shared" si="22"/>
        <v>6.9659071120000429E-2</v>
      </c>
      <c r="M175" s="2">
        <f t="shared" si="23"/>
        <v>0.92400000000000004</v>
      </c>
    </row>
    <row r="176" spans="1:13" ht="13" x14ac:dyDescent="0.15">
      <c r="A176" s="7"/>
      <c r="B176" s="1">
        <f t="shared" si="20"/>
        <v>15</v>
      </c>
      <c r="C176" s="1">
        <v>175</v>
      </c>
      <c r="D176" s="1" t="str">
        <f>_xlfn.XLOOKUP( C176, 'FP Ranking'!$A$2:$A$544, 'FP Ranking'!$C$2:$C$544 )</f>
        <v>Denver Broncos</v>
      </c>
      <c r="E176" s="8" t="b">
        <v>0</v>
      </c>
      <c r="F176" s="8" t="b">
        <v>0</v>
      </c>
      <c r="G176" s="1">
        <f xml:space="preserve"> _xlfn.XLOOKUP(  D176, 'ESPN Ranking'!$B$2:$B$544, 'ESPN Ranking'!$A$2:$A$544 )</f>
        <v>170</v>
      </c>
      <c r="H176" s="1">
        <f>_xlfn.XLOOKUP( C176, 'FP Ranking'!$A$2:$A$544, 'FP Ranking'!$B$2:$B$544 )</f>
        <v>9</v>
      </c>
      <c r="I176" s="1" t="str">
        <f>_xlfn.XLOOKUP( C176, 'FP Ranking'!$A$2:$A$544, 'FP Ranking'!$D$2:$D$544 )</f>
        <v>DEN</v>
      </c>
      <c r="J176" s="1" t="str" cm="1">
        <f t="array" ref="J176">LEFT(_xlfn.XLOOKUP(C176, 'FP Ranking'!$A$2:$A$544, 'FP Ranking'!$E$2:$E$544), MIN(SEARCH({1,2,3,4,5,6,7,8,9,0}, _xlfn.XLOOKUP(C176, 'FP Ranking'!$A$2:$A$544, 'FP Ranking'!$E$2:$E$544)&amp;{1,2,3,4,5,6,7,8,9,0}))-1)</f>
        <v>DST</v>
      </c>
      <c r="K176" s="1">
        <f t="shared" si="21"/>
        <v>-5</v>
      </c>
      <c r="L176" s="9">
        <f t="shared" si="22"/>
        <v>-7.5632369273814322E-3</v>
      </c>
      <c r="M176" s="2">
        <f t="shared" si="23"/>
        <v>0.30599999999999999</v>
      </c>
    </row>
    <row r="177" spans="1:13" ht="13" x14ac:dyDescent="0.15">
      <c r="A177" s="7"/>
      <c r="B177" s="1">
        <f t="shared" si="20"/>
        <v>15</v>
      </c>
      <c r="C177" s="1">
        <v>176</v>
      </c>
      <c r="D177" s="1" t="str">
        <f>_xlfn.XLOOKUP( C177, 'FP Ranking'!$A$2:$A$544, 'FP Ranking'!$C$2:$C$544 )</f>
        <v>Isaiah Likely</v>
      </c>
      <c r="E177" s="8" t="b">
        <v>0</v>
      </c>
      <c r="F177" s="8" t="b">
        <v>0</v>
      </c>
      <c r="G177" s="1">
        <f xml:space="preserve"> _xlfn.XLOOKUP(  D177, 'ESPN Ranking'!$B$2:$B$544, 'ESPN Ranking'!$A$2:$A$544 )</f>
        <v>291</v>
      </c>
      <c r="H177" s="1">
        <f>_xlfn.XLOOKUP( C177, 'FP Ranking'!$A$2:$A$544, 'FP Ranking'!$B$2:$B$544 )</f>
        <v>9</v>
      </c>
      <c r="I177" s="1" t="str">
        <f>_xlfn.XLOOKUP( C177, 'FP Ranking'!$A$2:$A$544, 'FP Ranking'!$D$2:$D$544 )</f>
        <v>BAL</v>
      </c>
      <c r="J177" s="1" t="str" cm="1">
        <f t="array" ref="J177">LEFT(_xlfn.XLOOKUP(C177, 'FP Ranking'!$A$2:$A$544, 'FP Ranking'!$E$2:$E$544), MIN(SEARCH({1,2,3,4,5,6,7,8,9,0}, _xlfn.XLOOKUP(C177, 'FP Ranking'!$A$2:$A$544, 'FP Ranking'!$E$2:$E$544)&amp;{1,2,3,4,5,6,7,8,9,0}))-1)</f>
        <v>TE</v>
      </c>
      <c r="K177" s="1">
        <f t="shared" si="21"/>
        <v>115</v>
      </c>
      <c r="L177" s="9">
        <f t="shared" si="22"/>
        <v>0.17376274655567728</v>
      </c>
      <c r="M177" s="2">
        <f t="shared" si="23"/>
        <v>0.99399999999999999</v>
      </c>
    </row>
    <row r="178" spans="1:13" ht="13" x14ac:dyDescent="0.15">
      <c r="A178" s="7"/>
      <c r="B178" s="1">
        <f t="shared" si="20"/>
        <v>15</v>
      </c>
      <c r="C178" s="1">
        <v>177</v>
      </c>
      <c r="D178" s="1" t="str">
        <f>_xlfn.XLOOKUP( C178, 'FP Ranking'!$A$2:$A$544, 'FP Ranking'!$C$2:$C$544 )</f>
        <v>Tre' Harris</v>
      </c>
      <c r="E178" s="8" t="b">
        <v>0</v>
      </c>
      <c r="F178" s="8" t="b">
        <v>0</v>
      </c>
      <c r="G178" s="1">
        <f xml:space="preserve"> _xlfn.XLOOKUP(  D178, 'ESPN Ranking'!$B$2:$B$544, 'ESPN Ranking'!$A$2:$A$544 )</f>
        <v>159</v>
      </c>
      <c r="H178" s="1">
        <f>_xlfn.XLOOKUP( C178, 'FP Ranking'!$A$2:$A$544, 'FP Ranking'!$B$2:$B$544 )</f>
        <v>9</v>
      </c>
      <c r="I178" s="1" t="str">
        <f>_xlfn.XLOOKUP( C178, 'FP Ranking'!$A$2:$A$544, 'FP Ranking'!$D$2:$D$544 )</f>
        <v>LAC</v>
      </c>
      <c r="J178" s="1" t="str" cm="1">
        <f t="array" ref="J178">LEFT(_xlfn.XLOOKUP(C178, 'FP Ranking'!$A$2:$A$544, 'FP Ranking'!$E$2:$E$544), MIN(SEARCH({1,2,3,4,5,6,7,8,9,0}, _xlfn.XLOOKUP(C178, 'FP Ranking'!$A$2:$A$544, 'FP Ranking'!$E$2:$E$544)&amp;{1,2,3,4,5,6,7,8,9,0}))-1)</f>
        <v>WR</v>
      </c>
      <c r="K178" s="1">
        <f t="shared" si="21"/>
        <v>-18</v>
      </c>
      <c r="L178" s="9">
        <f t="shared" si="22"/>
        <v>-2.7167877141389133E-2</v>
      </c>
      <c r="M178" s="2">
        <f t="shared" si="23"/>
        <v>0.11</v>
      </c>
    </row>
    <row r="179" spans="1:13" ht="13" x14ac:dyDescent="0.15">
      <c r="A179" s="7"/>
      <c r="B179" s="1">
        <f t="shared" si="20"/>
        <v>15</v>
      </c>
      <c r="C179" s="1">
        <v>178</v>
      </c>
      <c r="D179" s="1" t="str">
        <f>_xlfn.XLOOKUP( C179, 'FP Ranking'!$A$2:$A$544, 'FP Ranking'!$C$2:$C$544 )</f>
        <v>Blake Corum</v>
      </c>
      <c r="E179" s="8" t="b">
        <v>0</v>
      </c>
      <c r="F179" s="8" t="b">
        <v>0</v>
      </c>
      <c r="G179" s="1">
        <f xml:space="preserve"> _xlfn.XLOOKUP(  D179, 'ESPN Ranking'!$B$2:$B$544, 'ESPN Ranking'!$A$2:$A$544 )</f>
        <v>223</v>
      </c>
      <c r="H179" s="1">
        <f>_xlfn.XLOOKUP( C179, 'FP Ranking'!$A$2:$A$544, 'FP Ranking'!$B$2:$B$544 )</f>
        <v>9</v>
      </c>
      <c r="I179" s="1" t="str">
        <f>_xlfn.XLOOKUP( C179, 'FP Ranking'!$A$2:$A$544, 'FP Ranking'!$D$2:$D$544 )</f>
        <v>LAR</v>
      </c>
      <c r="J179" s="1" t="str" cm="1">
        <f t="array" ref="J179">LEFT(_xlfn.XLOOKUP(C179, 'FP Ranking'!$A$2:$A$544, 'FP Ranking'!$E$2:$E$544), MIN(SEARCH({1,2,3,4,5,6,7,8,9,0}, _xlfn.XLOOKUP(C179, 'FP Ranking'!$A$2:$A$544, 'FP Ranking'!$E$2:$E$544)&amp;{1,2,3,4,5,6,7,8,9,0}))-1)</f>
        <v>RB</v>
      </c>
      <c r="K179" s="1">
        <f t="shared" si="21"/>
        <v>45</v>
      </c>
      <c r="L179" s="9">
        <f t="shared" si="22"/>
        <v>6.7845848169436423E-2</v>
      </c>
      <c r="M179" s="2">
        <f t="shared" si="23"/>
        <v>0.91900000000000004</v>
      </c>
    </row>
    <row r="180" spans="1:13" ht="13" x14ac:dyDescent="0.15">
      <c r="A180" s="7"/>
      <c r="B180" s="1">
        <f t="shared" si="20"/>
        <v>15</v>
      </c>
      <c r="C180" s="1">
        <v>179</v>
      </c>
      <c r="D180" s="1" t="str">
        <f>_xlfn.XLOOKUP( C180, 'FP Ranking'!$A$2:$A$544, 'FP Ranking'!$C$2:$C$544 )</f>
        <v>Roschon Johnson</v>
      </c>
      <c r="E180" s="8" t="b">
        <v>0</v>
      </c>
      <c r="F180" s="8" t="b">
        <v>0</v>
      </c>
      <c r="G180" s="1">
        <f xml:space="preserve"> _xlfn.XLOOKUP(  D180, 'ESPN Ranking'!$B$2:$B$544, 'ESPN Ranking'!$A$2:$A$544 )</f>
        <v>221</v>
      </c>
      <c r="H180" s="1">
        <f>_xlfn.XLOOKUP( C180, 'FP Ranking'!$A$2:$A$544, 'FP Ranking'!$B$2:$B$544 )</f>
        <v>9</v>
      </c>
      <c r="I180" s="1" t="str">
        <f>_xlfn.XLOOKUP( C180, 'FP Ranking'!$A$2:$A$544, 'FP Ranking'!$D$2:$D$544 )</f>
        <v>CHI</v>
      </c>
      <c r="J180" s="1" t="str" cm="1">
        <f t="array" ref="J180">LEFT(_xlfn.XLOOKUP(C180, 'FP Ranking'!$A$2:$A$544, 'FP Ranking'!$E$2:$E$544), MIN(SEARCH({1,2,3,4,5,6,7,8,9,0}, _xlfn.XLOOKUP(C180, 'FP Ranking'!$A$2:$A$544, 'FP Ranking'!$E$2:$E$544)&amp;{1,2,3,4,5,6,7,8,9,0}))-1)</f>
        <v>RB</v>
      </c>
      <c r="K180" s="1">
        <f t="shared" si="21"/>
        <v>42</v>
      </c>
      <c r="L180" s="9">
        <f t="shared" si="22"/>
        <v>6.3254404488393076E-2</v>
      </c>
      <c r="M180" s="2">
        <f t="shared" si="23"/>
        <v>0.90900000000000003</v>
      </c>
    </row>
    <row r="181" spans="1:13" ht="13" x14ac:dyDescent="0.15">
      <c r="A181" s="7"/>
      <c r="B181" s="1">
        <f t="shared" si="20"/>
        <v>15</v>
      </c>
      <c r="C181" s="1">
        <v>180</v>
      </c>
      <c r="D181" s="1" t="str">
        <f>_xlfn.XLOOKUP( C181, 'FP Ranking'!$A$2:$A$544, 'FP Ranking'!$C$2:$C$544 )</f>
        <v>Philadelphia Eagles</v>
      </c>
      <c r="E181" s="8" t="b">
        <v>0</v>
      </c>
      <c r="F181" s="8" t="b">
        <v>0</v>
      </c>
      <c r="G181" s="1">
        <f xml:space="preserve"> _xlfn.XLOOKUP(  D181, 'ESPN Ranking'!$B$2:$B$544, 'ESPN Ranking'!$A$2:$A$544 )</f>
        <v>178</v>
      </c>
      <c r="H181" s="1">
        <f>_xlfn.XLOOKUP( C181, 'FP Ranking'!$A$2:$A$544, 'FP Ranking'!$B$2:$B$544 )</f>
        <v>9</v>
      </c>
      <c r="I181" s="1" t="str">
        <f>_xlfn.XLOOKUP( C181, 'FP Ranking'!$A$2:$A$544, 'FP Ranking'!$D$2:$D$544 )</f>
        <v>PHI</v>
      </c>
      <c r="J181" s="1" t="str" cm="1">
        <f t="array" ref="J181">LEFT(_xlfn.XLOOKUP(C181, 'FP Ranking'!$A$2:$A$544, 'FP Ranking'!$E$2:$E$544), MIN(SEARCH({1,2,3,4,5,6,7,8,9,0}, _xlfn.XLOOKUP(C181, 'FP Ranking'!$A$2:$A$544, 'FP Ranking'!$E$2:$E$544)&amp;{1,2,3,4,5,6,7,8,9,0}))-1)</f>
        <v>DST</v>
      </c>
      <c r="K181" s="1">
        <f t="shared" si="21"/>
        <v>-2</v>
      </c>
      <c r="L181" s="9">
        <f t="shared" si="22"/>
        <v>-3.0088830792656136E-3</v>
      </c>
      <c r="M181" s="2">
        <f t="shared" si="23"/>
        <v>0.40200000000000002</v>
      </c>
    </row>
    <row r="182" spans="1:13" ht="13" x14ac:dyDescent="0.15">
      <c r="A182" s="7"/>
      <c r="B182" s="1">
        <f t="shared" si="20"/>
        <v>16</v>
      </c>
      <c r="C182" s="1">
        <v>181</v>
      </c>
      <c r="D182" s="1" t="str">
        <f>_xlfn.XLOOKUP( C182, 'FP Ranking'!$A$2:$A$544, 'FP Ranking'!$C$2:$C$544 )</f>
        <v>Will Shipley</v>
      </c>
      <c r="E182" s="8" t="b">
        <v>0</v>
      </c>
      <c r="F182" s="8" t="b">
        <v>0</v>
      </c>
      <c r="G182" s="1">
        <f xml:space="preserve"> _xlfn.XLOOKUP(  D182, 'ESPN Ranking'!$B$2:$B$544, 'ESPN Ranking'!$A$2:$A$544 )</f>
        <v>150</v>
      </c>
      <c r="H182" s="1">
        <f>_xlfn.XLOOKUP( C182, 'FP Ranking'!$A$2:$A$544, 'FP Ranking'!$B$2:$B$544 )</f>
        <v>9</v>
      </c>
      <c r="I182" s="1" t="str">
        <f>_xlfn.XLOOKUP( C182, 'FP Ranking'!$A$2:$A$544, 'FP Ranking'!$D$2:$D$544 )</f>
        <v>PHI</v>
      </c>
      <c r="J182" s="1" t="str" cm="1">
        <f t="array" ref="J182">LEFT(_xlfn.XLOOKUP(C182, 'FP Ranking'!$A$2:$A$544, 'FP Ranking'!$E$2:$E$544), MIN(SEARCH({1,2,3,4,5,6,7,8,9,0}, _xlfn.XLOOKUP(C182, 'FP Ranking'!$A$2:$A$544, 'FP Ranking'!$E$2:$E$544)&amp;{1,2,3,4,5,6,7,8,9,0}))-1)</f>
        <v>RB</v>
      </c>
      <c r="K182" s="1">
        <f t="shared" si="21"/>
        <v>-31</v>
      </c>
      <c r="L182" s="9">
        <f t="shared" si="22"/>
        <v>-4.6587984670066786E-2</v>
      </c>
      <c r="M182" s="2">
        <f t="shared" si="23"/>
        <v>2.5000000000000001E-2</v>
      </c>
    </row>
    <row r="183" spans="1:13" ht="13" x14ac:dyDescent="0.15">
      <c r="A183" s="7"/>
      <c r="B183" s="1">
        <f t="shared" si="20"/>
        <v>16</v>
      </c>
      <c r="C183" s="1">
        <v>182</v>
      </c>
      <c r="D183" s="1" t="str">
        <f>_xlfn.XLOOKUP( C183, 'FP Ranking'!$A$2:$A$544, 'FP Ranking'!$C$2:$C$544 )</f>
        <v>Cade Otton</v>
      </c>
      <c r="E183" s="8" t="b">
        <v>0</v>
      </c>
      <c r="F183" s="8" t="b">
        <v>0</v>
      </c>
      <c r="G183" s="1">
        <f xml:space="preserve"> _xlfn.XLOOKUP(  D183, 'ESPN Ranking'!$B$2:$B$544, 'ESPN Ranking'!$A$2:$A$544 )</f>
        <v>215</v>
      </c>
      <c r="H183" s="1">
        <f>_xlfn.XLOOKUP( C183, 'FP Ranking'!$A$2:$A$544, 'FP Ranking'!$B$2:$B$544 )</f>
        <v>9</v>
      </c>
      <c r="I183" s="1" t="str">
        <f>_xlfn.XLOOKUP( C183, 'FP Ranking'!$A$2:$A$544, 'FP Ranking'!$D$2:$D$544 )</f>
        <v>TB</v>
      </c>
      <c r="J183" s="1" t="str" cm="1">
        <f t="array" ref="J183">LEFT(_xlfn.XLOOKUP(C183, 'FP Ranking'!$A$2:$A$544, 'FP Ranking'!$E$2:$E$544), MIN(SEARCH({1,2,3,4,5,6,7,8,9,0}, _xlfn.XLOOKUP(C183, 'FP Ranking'!$A$2:$A$544, 'FP Ranking'!$E$2:$E$544)&amp;{1,2,3,4,5,6,7,8,9,0}))-1)</f>
        <v>TE</v>
      </c>
      <c r="K183" s="1">
        <f t="shared" si="21"/>
        <v>33</v>
      </c>
      <c r="L183" s="9">
        <f t="shared" si="22"/>
        <v>4.9541154633838284E-2</v>
      </c>
      <c r="M183" s="2">
        <f t="shared" si="23"/>
        <v>0.874</v>
      </c>
    </row>
    <row r="184" spans="1:13" ht="13" x14ac:dyDescent="0.15">
      <c r="A184" s="7"/>
      <c r="B184" s="1">
        <f t="shared" si="20"/>
        <v>16</v>
      </c>
      <c r="C184" s="1">
        <v>183</v>
      </c>
      <c r="D184" s="1" t="str">
        <f>_xlfn.XLOOKUP( C184, 'FP Ranking'!$A$2:$A$544, 'FP Ranking'!$C$2:$C$544 )</f>
        <v>Jalen Coker</v>
      </c>
      <c r="E184" s="8" t="b">
        <v>0</v>
      </c>
      <c r="F184" s="8" t="b">
        <v>0</v>
      </c>
      <c r="G184" s="1">
        <f xml:space="preserve"> _xlfn.XLOOKUP(  D184, 'ESPN Ranking'!$B$2:$B$544, 'ESPN Ranking'!$A$2:$A$544 )</f>
        <v>155</v>
      </c>
      <c r="H184" s="1">
        <f>_xlfn.XLOOKUP( C184, 'FP Ranking'!$A$2:$A$544, 'FP Ranking'!$B$2:$B$544 )</f>
        <v>9</v>
      </c>
      <c r="I184" s="1" t="str">
        <f>_xlfn.XLOOKUP( C184, 'FP Ranking'!$A$2:$A$544, 'FP Ranking'!$D$2:$D$544 )</f>
        <v>CAR</v>
      </c>
      <c r="J184" s="1" t="str" cm="1">
        <f t="array" ref="J184">LEFT(_xlfn.XLOOKUP(C184, 'FP Ranking'!$A$2:$A$544, 'FP Ranking'!$E$2:$E$544), MIN(SEARCH({1,2,3,4,5,6,7,8,9,0}, _xlfn.XLOOKUP(C184, 'FP Ranking'!$A$2:$A$544, 'FP Ranking'!$E$2:$E$544)&amp;{1,2,3,4,5,6,7,8,9,0}))-1)</f>
        <v>WR</v>
      </c>
      <c r="K184" s="1">
        <f t="shared" si="21"/>
        <v>-28</v>
      </c>
      <c r="L184" s="9">
        <f t="shared" si="22"/>
        <v>-4.1990705720695062E-2</v>
      </c>
      <c r="M184" s="2">
        <f t="shared" si="23"/>
        <v>0.03</v>
      </c>
    </row>
    <row r="185" spans="1:13" ht="13" x14ac:dyDescent="0.15">
      <c r="A185" s="7"/>
      <c r="B185" s="1">
        <f t="shared" si="20"/>
        <v>16</v>
      </c>
      <c r="C185" s="1">
        <v>184</v>
      </c>
      <c r="D185" s="1" t="str">
        <f>_xlfn.XLOOKUP( C185, 'FP Ranking'!$A$2:$A$544, 'FP Ranking'!$C$2:$C$544 )</f>
        <v>Mike Gesicki</v>
      </c>
      <c r="E185" s="8" t="b">
        <v>0</v>
      </c>
      <c r="F185" s="8" t="b">
        <v>0</v>
      </c>
      <c r="G185" s="1">
        <f xml:space="preserve"> _xlfn.XLOOKUP(  D185, 'ESPN Ranking'!$B$2:$B$544, 'ESPN Ranking'!$A$2:$A$544 )</f>
        <v>290</v>
      </c>
      <c r="H185" s="1">
        <f>_xlfn.XLOOKUP( C185, 'FP Ranking'!$A$2:$A$544, 'FP Ranking'!$B$2:$B$544 )</f>
        <v>9</v>
      </c>
      <c r="I185" s="1" t="str">
        <f>_xlfn.XLOOKUP( C185, 'FP Ranking'!$A$2:$A$544, 'FP Ranking'!$D$2:$D$544 )</f>
        <v>CIN</v>
      </c>
      <c r="J185" s="1" t="str" cm="1">
        <f t="array" ref="J185">LEFT(_xlfn.XLOOKUP(C185, 'FP Ranking'!$A$2:$A$544, 'FP Ranking'!$E$2:$E$544), MIN(SEARCH({1,2,3,4,5,6,7,8,9,0}, _xlfn.XLOOKUP(C185, 'FP Ranking'!$A$2:$A$544, 'FP Ranking'!$E$2:$E$544)&amp;{1,2,3,4,5,6,7,8,9,0}))-1)</f>
        <v>TE</v>
      </c>
      <c r="K185" s="1">
        <f t="shared" si="21"/>
        <v>106</v>
      </c>
      <c r="L185" s="9">
        <f t="shared" si="22"/>
        <v>0.15879869637736246</v>
      </c>
      <c r="M185" s="2">
        <f t="shared" si="23"/>
        <v>0.98899999999999999</v>
      </c>
    </row>
    <row r="186" spans="1:13" ht="13" x14ac:dyDescent="0.15">
      <c r="A186" s="7"/>
      <c r="B186" s="1">
        <f t="shared" si="20"/>
        <v>16</v>
      </c>
      <c r="C186" s="1">
        <v>185</v>
      </c>
      <c r="D186" s="1" t="str">
        <f>_xlfn.XLOOKUP( C186, 'FP Ranking'!$A$2:$A$544, 'FP Ranking'!$C$2:$C$544 )</f>
        <v>Pittsburgh Steelers</v>
      </c>
      <c r="E186" s="8" t="b">
        <v>0</v>
      </c>
      <c r="F186" s="8" t="b">
        <v>0</v>
      </c>
      <c r="G186" s="1">
        <f xml:space="preserve"> _xlfn.XLOOKUP(  D186, 'ESPN Ranking'!$B$2:$B$544, 'ESPN Ranking'!$A$2:$A$544 )</f>
        <v>169</v>
      </c>
      <c r="H186" s="1">
        <f>_xlfn.XLOOKUP( C186, 'FP Ranking'!$A$2:$A$544, 'FP Ranking'!$B$2:$B$544 )</f>
        <v>9</v>
      </c>
      <c r="I186" s="1" t="str">
        <f>_xlfn.XLOOKUP( C186, 'FP Ranking'!$A$2:$A$544, 'FP Ranking'!$D$2:$D$544 )</f>
        <v>PIT</v>
      </c>
      <c r="J186" s="1" t="str" cm="1">
        <f t="array" ref="J186">LEFT(_xlfn.XLOOKUP(C186, 'FP Ranking'!$A$2:$A$544, 'FP Ranking'!$E$2:$E$544), MIN(SEARCH({1,2,3,4,5,6,7,8,9,0}, _xlfn.XLOOKUP(C186, 'FP Ranking'!$A$2:$A$544, 'FP Ranking'!$E$2:$E$544)&amp;{1,2,3,4,5,6,7,8,9,0}))-1)</f>
        <v>DST</v>
      </c>
      <c r="K186" s="1">
        <f t="shared" si="21"/>
        <v>-16</v>
      </c>
      <c r="L186" s="9">
        <f t="shared" si="22"/>
        <v>-2.3944727943544835E-2</v>
      </c>
      <c r="M186" s="2">
        <f t="shared" si="23"/>
        <v>0.125</v>
      </c>
    </row>
    <row r="187" spans="1:13" ht="13" x14ac:dyDescent="0.15">
      <c r="A187" s="7"/>
      <c r="B187" s="1">
        <f t="shared" si="20"/>
        <v>16</v>
      </c>
      <c r="C187" s="1">
        <v>186</v>
      </c>
      <c r="D187" s="1" t="str">
        <f>_xlfn.XLOOKUP( C187, 'FP Ranking'!$A$2:$A$544, 'FP Ranking'!$C$2:$C$544 )</f>
        <v>DeAndre Hopkins</v>
      </c>
      <c r="E187" s="8" t="b">
        <v>0</v>
      </c>
      <c r="F187" s="8" t="b">
        <v>0</v>
      </c>
      <c r="G187" s="1">
        <f xml:space="preserve"> _xlfn.XLOOKUP(  D187, 'ESPN Ranking'!$B$2:$B$544, 'ESPN Ranking'!$A$2:$A$544 )</f>
        <v>202</v>
      </c>
      <c r="H187" s="1">
        <f>_xlfn.XLOOKUP( C187, 'FP Ranking'!$A$2:$A$544, 'FP Ranking'!$B$2:$B$544 )</f>
        <v>9</v>
      </c>
      <c r="I187" s="1" t="str">
        <f>_xlfn.XLOOKUP( C187, 'FP Ranking'!$A$2:$A$544, 'FP Ranking'!$D$2:$D$544 )</f>
        <v>BAL</v>
      </c>
      <c r="J187" s="1" t="str" cm="1">
        <f t="array" ref="J187">LEFT(_xlfn.XLOOKUP(C187, 'FP Ranking'!$A$2:$A$544, 'FP Ranking'!$E$2:$E$544), MIN(SEARCH({1,2,3,4,5,6,7,8,9,0}, _xlfn.XLOOKUP(C187, 'FP Ranking'!$A$2:$A$544, 'FP Ranking'!$E$2:$E$544)&amp;{1,2,3,4,5,6,7,8,9,0}))-1)</f>
        <v>WR</v>
      </c>
      <c r="K187" s="1">
        <f t="shared" si="21"/>
        <v>16</v>
      </c>
      <c r="L187" s="9">
        <f t="shared" si="22"/>
        <v>2.3920026707146162E-2</v>
      </c>
      <c r="M187" s="2">
        <f t="shared" si="23"/>
        <v>0.80400000000000005</v>
      </c>
    </row>
    <row r="188" spans="1:13" ht="13" x14ac:dyDescent="0.15">
      <c r="A188" s="7"/>
      <c r="B188" s="1">
        <f t="shared" si="20"/>
        <v>16</v>
      </c>
      <c r="C188" s="1">
        <v>187</v>
      </c>
      <c r="D188" s="1" t="str">
        <f>_xlfn.XLOOKUP( C188, 'FP Ranking'!$A$2:$A$544, 'FP Ranking'!$C$2:$C$544 )</f>
        <v>Minnesota Vikings</v>
      </c>
      <c r="E188" s="8" t="b">
        <v>0</v>
      </c>
      <c r="F188" s="8" t="b">
        <v>0</v>
      </c>
      <c r="G188" s="1">
        <f xml:space="preserve"> _xlfn.XLOOKUP(  D188, 'ESPN Ranking'!$B$2:$B$544, 'ESPN Ranking'!$A$2:$A$544 )</f>
        <v>173</v>
      </c>
      <c r="H188" s="1">
        <f>_xlfn.XLOOKUP( C188, 'FP Ranking'!$A$2:$A$544, 'FP Ranking'!$B$2:$B$544 )</f>
        <v>9</v>
      </c>
      <c r="I188" s="1" t="str">
        <f>_xlfn.XLOOKUP( C188, 'FP Ranking'!$A$2:$A$544, 'FP Ranking'!$D$2:$D$544 )</f>
        <v>MIN</v>
      </c>
      <c r="J188" s="1" t="str" cm="1">
        <f t="array" ref="J188">LEFT(_xlfn.XLOOKUP(C188, 'FP Ranking'!$A$2:$A$544, 'FP Ranking'!$E$2:$E$544), MIN(SEARCH({1,2,3,4,5,6,7,8,9,0}, _xlfn.XLOOKUP(C188, 'FP Ranking'!$A$2:$A$544, 'FP Ranking'!$E$2:$E$544)&amp;{1,2,3,4,5,6,7,8,9,0}))-1)</f>
        <v>DST</v>
      </c>
      <c r="K188" s="1">
        <f t="shared" si="21"/>
        <v>-14</v>
      </c>
      <c r="L188" s="9">
        <f t="shared" si="22"/>
        <v>-2.0908569867502787E-2</v>
      </c>
      <c r="M188" s="2">
        <f t="shared" si="23"/>
        <v>0.14499999999999999</v>
      </c>
    </row>
    <row r="189" spans="1:13" ht="13" x14ac:dyDescent="0.15">
      <c r="A189" s="7"/>
      <c r="B189" s="1">
        <f t="shared" si="20"/>
        <v>16</v>
      </c>
      <c r="C189" s="1">
        <v>188</v>
      </c>
      <c r="D189" s="1" t="str">
        <f>_xlfn.XLOOKUP( C189, 'FP Ranking'!$A$2:$A$544, 'FP Ranking'!$C$2:$C$544 )</f>
        <v>Aaron Rodgers</v>
      </c>
      <c r="E189" s="8" t="b">
        <v>0</v>
      </c>
      <c r="F189" s="8" t="b">
        <v>0</v>
      </c>
      <c r="G189" s="1">
        <f xml:space="preserve"> _xlfn.XLOOKUP(  D189, 'ESPN Ranking'!$B$2:$B$544, 'ESPN Ranking'!$A$2:$A$544 )</f>
        <v>268</v>
      </c>
      <c r="H189" s="1">
        <f>_xlfn.XLOOKUP( C189, 'FP Ranking'!$A$2:$A$544, 'FP Ranking'!$B$2:$B$544 )</f>
        <v>9</v>
      </c>
      <c r="I189" s="1" t="str">
        <f>_xlfn.XLOOKUP( C189, 'FP Ranking'!$A$2:$A$544, 'FP Ranking'!$D$2:$D$544 )</f>
        <v>PIT</v>
      </c>
      <c r="J189" s="1" t="str" cm="1">
        <f t="array" ref="J189">LEFT(_xlfn.XLOOKUP(C189, 'FP Ranking'!$A$2:$A$544, 'FP Ranking'!$E$2:$E$544), MIN(SEARCH({1,2,3,4,5,6,7,8,9,0}, _xlfn.XLOOKUP(C189, 'FP Ranking'!$A$2:$A$544, 'FP Ranking'!$E$2:$E$544)&amp;{1,2,3,4,5,6,7,8,9,0}))-1)</f>
        <v>QB</v>
      </c>
      <c r="K189" s="1">
        <f t="shared" si="21"/>
        <v>80</v>
      </c>
      <c r="L189" s="9">
        <f t="shared" si="22"/>
        <v>0.11935585354262744</v>
      </c>
      <c r="M189" s="2">
        <f t="shared" si="23"/>
        <v>0.97899999999999998</v>
      </c>
    </row>
    <row r="190" spans="1:13" ht="13" x14ac:dyDescent="0.15">
      <c r="A190" s="7"/>
      <c r="B190" s="1">
        <f t="shared" si="20"/>
        <v>16</v>
      </c>
      <c r="C190" s="1">
        <v>189</v>
      </c>
      <c r="D190" s="1" t="str">
        <f>_xlfn.XLOOKUP( C190, 'FP Ranking'!$A$2:$A$544, 'FP Ranking'!$C$2:$C$544 )</f>
        <v>Baltimore Ravens</v>
      </c>
      <c r="E190" s="8" t="b">
        <v>0</v>
      </c>
      <c r="F190" s="8" t="b">
        <v>0</v>
      </c>
      <c r="G190" s="1">
        <f xml:space="preserve"> _xlfn.XLOOKUP(  D190, 'ESPN Ranking'!$B$2:$B$544, 'ESPN Ranking'!$A$2:$A$544 )</f>
        <v>172</v>
      </c>
      <c r="H190" s="1">
        <f>_xlfn.XLOOKUP( C190, 'FP Ranking'!$A$2:$A$544, 'FP Ranking'!$B$2:$B$544 )</f>
        <v>9</v>
      </c>
      <c r="I190" s="1" t="str">
        <f>_xlfn.XLOOKUP( C190, 'FP Ranking'!$A$2:$A$544, 'FP Ranking'!$D$2:$D$544 )</f>
        <v>BAL</v>
      </c>
      <c r="J190" s="1" t="str" cm="1">
        <f t="array" ref="J190">LEFT(_xlfn.XLOOKUP(C190, 'FP Ranking'!$A$2:$A$544, 'FP Ranking'!$E$2:$E$544), MIN(SEARCH({1,2,3,4,5,6,7,8,9,0}, _xlfn.XLOOKUP(C190, 'FP Ranking'!$A$2:$A$544, 'FP Ranking'!$E$2:$E$544)&amp;{1,2,3,4,5,6,7,8,9,0}))-1)</f>
        <v>DST</v>
      </c>
      <c r="K190" s="1">
        <f t="shared" si="21"/>
        <v>-17</v>
      </c>
      <c r="L190" s="9">
        <f t="shared" si="22"/>
        <v>-2.5337449445466762E-2</v>
      </c>
      <c r="M190" s="2">
        <f t="shared" si="23"/>
        <v>0.12</v>
      </c>
    </row>
    <row r="191" spans="1:13" ht="13" x14ac:dyDescent="0.15">
      <c r="A191" s="7"/>
      <c r="B191" s="1">
        <f t="shared" si="20"/>
        <v>16</v>
      </c>
      <c r="C191" s="1">
        <v>190</v>
      </c>
      <c r="D191" s="1" t="str">
        <f>_xlfn.XLOOKUP( C191, 'FP Ranking'!$A$2:$A$544, 'FP Ranking'!$C$2:$C$544 )</f>
        <v>Kyle Monangai</v>
      </c>
      <c r="E191" s="8" t="b">
        <v>0</v>
      </c>
      <c r="F191" s="8" t="b">
        <v>0</v>
      </c>
      <c r="G191" s="1">
        <f xml:space="preserve"> _xlfn.XLOOKUP(  D191, 'ESPN Ranking'!$B$2:$B$544, 'ESPN Ranking'!$A$2:$A$544 )</f>
        <v>243</v>
      </c>
      <c r="H191" s="1">
        <f>_xlfn.XLOOKUP( C191, 'FP Ranking'!$A$2:$A$544, 'FP Ranking'!$B$2:$B$544 )</f>
        <v>9</v>
      </c>
      <c r="I191" s="1" t="str">
        <f>_xlfn.XLOOKUP( C191, 'FP Ranking'!$A$2:$A$544, 'FP Ranking'!$D$2:$D$544 )</f>
        <v>CHI</v>
      </c>
      <c r="J191" s="1" t="str" cm="1">
        <f t="array" ref="J191">LEFT(_xlfn.XLOOKUP(C191, 'FP Ranking'!$A$2:$A$544, 'FP Ranking'!$E$2:$E$544), MIN(SEARCH({1,2,3,4,5,6,7,8,9,0}, _xlfn.XLOOKUP(C191, 'FP Ranking'!$A$2:$A$544, 'FP Ranking'!$E$2:$E$544)&amp;{1,2,3,4,5,6,7,8,9,0}))-1)</f>
        <v>RB</v>
      </c>
      <c r="K191" s="1">
        <f t="shared" si="21"/>
        <v>53</v>
      </c>
      <c r="L191" s="9">
        <f t="shared" si="22"/>
        <v>7.8913779373897153E-2</v>
      </c>
      <c r="M191" s="2">
        <f t="shared" si="23"/>
        <v>0.93400000000000005</v>
      </c>
    </row>
    <row r="192" spans="1:13" ht="13" x14ac:dyDescent="0.15">
      <c r="A192" s="7"/>
      <c r="B192" s="1">
        <f t="shared" si="20"/>
        <v>16</v>
      </c>
      <c r="C192" s="1">
        <v>191</v>
      </c>
      <c r="D192" s="1" t="str">
        <f>_xlfn.XLOOKUP( C192, 'FP Ranking'!$A$2:$A$544, 'FP Ranking'!$C$2:$C$544 )</f>
        <v>Isaac Guerendo</v>
      </c>
      <c r="E192" s="8" t="b">
        <v>0</v>
      </c>
      <c r="F192" s="8" t="b">
        <v>0</v>
      </c>
      <c r="G192" s="1">
        <f xml:space="preserve"> _xlfn.XLOOKUP(  D192, 'ESPN Ranking'!$B$2:$B$544, 'ESPN Ranking'!$A$2:$A$544 )</f>
        <v>247</v>
      </c>
      <c r="H192" s="1">
        <f>_xlfn.XLOOKUP( C192, 'FP Ranking'!$A$2:$A$544, 'FP Ranking'!$B$2:$B$544 )</f>
        <v>9</v>
      </c>
      <c r="I192" s="1" t="str">
        <f>_xlfn.XLOOKUP( C192, 'FP Ranking'!$A$2:$A$544, 'FP Ranking'!$D$2:$D$544 )</f>
        <v>SF</v>
      </c>
      <c r="J192" s="1" t="str" cm="1">
        <f t="array" ref="J192">LEFT(_xlfn.XLOOKUP(C192, 'FP Ranking'!$A$2:$A$544, 'FP Ranking'!$E$2:$E$544), MIN(SEARCH({1,2,3,4,5,6,7,8,9,0}, _xlfn.XLOOKUP(C192, 'FP Ranking'!$A$2:$A$544, 'FP Ranking'!$E$2:$E$544)&amp;{1,2,3,4,5,6,7,8,9,0}))-1)</f>
        <v>RB</v>
      </c>
      <c r="K192" s="1">
        <f t="shared" si="21"/>
        <v>56</v>
      </c>
      <c r="L192" s="9">
        <f t="shared" si="22"/>
        <v>8.3297262793629992E-2</v>
      </c>
      <c r="M192" s="2">
        <f t="shared" si="23"/>
        <v>0.94399999999999995</v>
      </c>
    </row>
    <row r="193" spans="1:13" ht="13" x14ac:dyDescent="0.15">
      <c r="A193" s="7"/>
      <c r="B193" s="1">
        <f t="shared" si="20"/>
        <v>16</v>
      </c>
      <c r="C193" s="1">
        <v>192</v>
      </c>
      <c r="D193" s="1" t="str">
        <f>_xlfn.XLOOKUP( C193, 'FP Ranking'!$A$2:$A$544, 'FP Ranking'!$C$2:$C$544 )</f>
        <v>Alec Pierce</v>
      </c>
      <c r="E193" s="8" t="b">
        <v>0</v>
      </c>
      <c r="F193" s="8" t="b">
        <v>0</v>
      </c>
      <c r="G193" s="1">
        <f xml:space="preserve"> _xlfn.XLOOKUP(  D193, 'ESPN Ranking'!$B$2:$B$544, 'ESPN Ranking'!$A$2:$A$544 )</f>
        <v>252</v>
      </c>
      <c r="H193" s="1">
        <f>_xlfn.XLOOKUP( C193, 'FP Ranking'!$A$2:$A$544, 'FP Ranking'!$B$2:$B$544 )</f>
        <v>9</v>
      </c>
      <c r="I193" s="1" t="str">
        <f>_xlfn.XLOOKUP( C193, 'FP Ranking'!$A$2:$A$544, 'FP Ranking'!$D$2:$D$544 )</f>
        <v>IND</v>
      </c>
      <c r="J193" s="1" t="str" cm="1">
        <f t="array" ref="J193">LEFT(_xlfn.XLOOKUP(C193, 'FP Ranking'!$A$2:$A$544, 'FP Ranking'!$E$2:$E$544), MIN(SEARCH({1,2,3,4,5,6,7,8,9,0}, _xlfn.XLOOKUP(C193, 'FP Ranking'!$A$2:$A$544, 'FP Ranking'!$E$2:$E$544)&amp;{1,2,3,4,5,6,7,8,9,0}))-1)</f>
        <v>WR</v>
      </c>
      <c r="K193" s="1">
        <f t="shared" si="21"/>
        <v>60</v>
      </c>
      <c r="L193" s="9">
        <f t="shared" si="22"/>
        <v>8.9158423703796091E-2</v>
      </c>
      <c r="M193" s="2">
        <f t="shared" si="23"/>
        <v>0.95399999999999996</v>
      </c>
    </row>
    <row r="194" spans="1:13" ht="13" x14ac:dyDescent="0.15">
      <c r="A194" s="7"/>
      <c r="B194" s="1">
        <f t="shared" ref="B194:B201" si="24">ROUNDUP( $C194 / 12,0)</f>
        <v>17</v>
      </c>
      <c r="C194" s="1">
        <v>193</v>
      </c>
      <c r="D194" s="1" t="str">
        <f>_xlfn.XLOOKUP( C194, 'FP Ranking'!$A$2:$A$544, 'FP Ranking'!$C$2:$C$544 )</f>
        <v>Mason Taylor</v>
      </c>
      <c r="E194" s="8" t="b">
        <v>0</v>
      </c>
      <c r="F194" s="8" t="b">
        <v>0</v>
      </c>
      <c r="G194" s="1">
        <f xml:space="preserve"> _xlfn.XLOOKUP(  D194, 'ESPN Ranking'!$B$2:$B$544, 'ESPN Ranking'!$A$2:$A$544 )</f>
        <v>207</v>
      </c>
      <c r="H194" s="1">
        <f>_xlfn.XLOOKUP( C194, 'FP Ranking'!$A$2:$A$544, 'FP Ranking'!$B$2:$B$544 )</f>
        <v>9</v>
      </c>
      <c r="I194" s="1" t="str">
        <f>_xlfn.XLOOKUP( C194, 'FP Ranking'!$A$2:$A$544, 'FP Ranking'!$D$2:$D$544 )</f>
        <v>NYJ</v>
      </c>
      <c r="J194" s="1" t="str" cm="1">
        <f t="array" ref="J194">LEFT(_xlfn.XLOOKUP(C194, 'FP Ranking'!$A$2:$A$544, 'FP Ranking'!$E$2:$E$544), MIN(SEARCH({1,2,3,4,5,6,7,8,9,0}, _xlfn.XLOOKUP(C194, 'FP Ranking'!$A$2:$A$544, 'FP Ranking'!$E$2:$E$544)&amp;{1,2,3,4,5,6,7,8,9,0}))-1)</f>
        <v>TE</v>
      </c>
      <c r="K194" s="1">
        <f t="shared" ref="K194:K201" si="25">G194 - C194</f>
        <v>14</v>
      </c>
      <c r="L194" s="9">
        <f t="shared" ref="L194:L201" si="26">( K194 / -LN( 1 / ( C194^128 + 1 ) ) )</f>
        <v>2.0783096871366442E-2</v>
      </c>
      <c r="M194" s="2">
        <f t="shared" ref="M194:M201" si="27">PERCENTRANK( $L$2:$L$251, L194 )</f>
        <v>0.76800000000000002</v>
      </c>
    </row>
    <row r="195" spans="1:13" ht="13" x14ac:dyDescent="0.15">
      <c r="A195" s="7"/>
      <c r="B195" s="1">
        <f t="shared" si="24"/>
        <v>17</v>
      </c>
      <c r="C195" s="1">
        <v>194</v>
      </c>
      <c r="D195" s="1" t="str">
        <f>_xlfn.XLOOKUP( C195, 'FP Ranking'!$A$2:$A$544, 'FP Ranking'!$C$2:$C$544 )</f>
        <v>Pat Freiermuth</v>
      </c>
      <c r="E195" s="8" t="b">
        <v>0</v>
      </c>
      <c r="F195" s="8" t="b">
        <v>0</v>
      </c>
      <c r="G195" s="1">
        <f xml:space="preserve"> _xlfn.XLOOKUP(  D195, 'ESPN Ranking'!$B$2:$B$544, 'ESPN Ranking'!$A$2:$A$544 )</f>
        <v>216</v>
      </c>
      <c r="H195" s="1">
        <f>_xlfn.XLOOKUP( C195, 'FP Ranking'!$A$2:$A$544, 'FP Ranking'!$B$2:$B$544 )</f>
        <v>9</v>
      </c>
      <c r="I195" s="1" t="str">
        <f>_xlfn.XLOOKUP( C195, 'FP Ranking'!$A$2:$A$544, 'FP Ranking'!$D$2:$D$544 )</f>
        <v>PIT</v>
      </c>
      <c r="J195" s="1" t="str" cm="1">
        <f t="array" ref="J195">LEFT(_xlfn.XLOOKUP(C195, 'FP Ranking'!$A$2:$A$544, 'FP Ranking'!$E$2:$E$544), MIN(SEARCH({1,2,3,4,5,6,7,8,9,0}, _xlfn.XLOOKUP(C195, 'FP Ranking'!$A$2:$A$544, 'FP Ranking'!$E$2:$E$544)&amp;{1,2,3,4,5,6,7,8,9,0}))-1)</f>
        <v>TE</v>
      </c>
      <c r="K195" s="1">
        <f t="shared" si="25"/>
        <v>22</v>
      </c>
      <c r="L195" s="9">
        <f t="shared" si="26"/>
        <v>3.2627112350071492E-2</v>
      </c>
      <c r="M195" s="2">
        <f t="shared" si="27"/>
        <v>0.83399999999999996</v>
      </c>
    </row>
    <row r="196" spans="1:13" ht="13" x14ac:dyDescent="0.15">
      <c r="A196" s="7"/>
      <c r="B196" s="1">
        <f t="shared" si="24"/>
        <v>17</v>
      </c>
      <c r="C196" s="1">
        <v>195</v>
      </c>
      <c r="D196" s="1" t="str">
        <f>_xlfn.XLOOKUP( C196, 'FP Ranking'!$A$2:$A$544, 'FP Ranking'!$C$2:$C$544 )</f>
        <v>Houston Texans</v>
      </c>
      <c r="E196" s="8" t="b">
        <v>0</v>
      </c>
      <c r="F196" s="8" t="b">
        <v>0</v>
      </c>
      <c r="G196" s="1">
        <f xml:space="preserve"> _xlfn.XLOOKUP(  D196, 'ESPN Ranking'!$B$2:$B$544, 'ESPN Ranking'!$A$2:$A$544 )</f>
        <v>171</v>
      </c>
      <c r="H196" s="1">
        <f>_xlfn.XLOOKUP( C196, 'FP Ranking'!$A$2:$A$544, 'FP Ranking'!$B$2:$B$544 )</f>
        <v>9</v>
      </c>
      <c r="I196" s="1" t="str">
        <f>_xlfn.XLOOKUP( C196, 'FP Ranking'!$A$2:$A$544, 'FP Ranking'!$D$2:$D$544 )</f>
        <v>HOU</v>
      </c>
      <c r="J196" s="1" t="str" cm="1">
        <f t="array" ref="J196">LEFT(_xlfn.XLOOKUP(C196, 'FP Ranking'!$A$2:$A$544, 'FP Ranking'!$E$2:$E$544), MIN(SEARCH({1,2,3,4,5,6,7,8,9,0}, _xlfn.XLOOKUP(C196, 'FP Ranking'!$A$2:$A$544, 'FP Ranking'!$E$2:$E$544)&amp;{1,2,3,4,5,6,7,8,9,0}))-1)</f>
        <v>DST</v>
      </c>
      <c r="K196" s="1">
        <f t="shared" si="25"/>
        <v>-24</v>
      </c>
      <c r="L196" s="9">
        <f t="shared" si="26"/>
        <v>-3.5558508571366353E-2</v>
      </c>
      <c r="M196" s="2">
        <f t="shared" si="27"/>
        <v>0.05</v>
      </c>
    </row>
    <row r="197" spans="1:13" ht="13" x14ac:dyDescent="0.15">
      <c r="A197" s="7"/>
      <c r="B197" s="1">
        <f t="shared" si="24"/>
        <v>17</v>
      </c>
      <c r="C197" s="1">
        <v>196</v>
      </c>
      <c r="D197" s="1" t="str">
        <f>_xlfn.XLOOKUP( C197, 'FP Ranking'!$A$2:$A$544, 'FP Ranking'!$C$2:$C$544 )</f>
        <v>Brandon Aubrey</v>
      </c>
      <c r="E197" s="8" t="b">
        <v>0</v>
      </c>
      <c r="F197" s="8" t="b">
        <v>0</v>
      </c>
      <c r="G197" s="1">
        <f xml:space="preserve"> _xlfn.XLOOKUP(  D197, 'ESPN Ranking'!$B$2:$B$544, 'ESPN Ranking'!$A$2:$A$544 )</f>
        <v>184</v>
      </c>
      <c r="H197" s="1">
        <f>_xlfn.XLOOKUP( C197, 'FP Ranking'!$A$2:$A$544, 'FP Ranking'!$B$2:$B$544 )</f>
        <v>9</v>
      </c>
      <c r="I197" s="1" t="str">
        <f>_xlfn.XLOOKUP( C197, 'FP Ranking'!$A$2:$A$544, 'FP Ranking'!$D$2:$D$544 )</f>
        <v>DAL</v>
      </c>
      <c r="J197" s="1" t="str" cm="1">
        <f t="array" ref="J197">LEFT(_xlfn.XLOOKUP(C197, 'FP Ranking'!$A$2:$A$544, 'FP Ranking'!$E$2:$E$544), MIN(SEARCH({1,2,3,4,5,6,7,8,9,0}, _xlfn.XLOOKUP(C197, 'FP Ranking'!$A$2:$A$544, 'FP Ranking'!$E$2:$E$544)&amp;{1,2,3,4,5,6,7,8,9,0}))-1)</f>
        <v>K</v>
      </c>
      <c r="K197" s="1">
        <f t="shared" si="25"/>
        <v>-12</v>
      </c>
      <c r="L197" s="9">
        <f t="shared" si="26"/>
        <v>-1.7762024141716463E-2</v>
      </c>
      <c r="M197" s="2">
        <f t="shared" si="27"/>
        <v>0.185</v>
      </c>
    </row>
    <row r="198" spans="1:13" ht="13" x14ac:dyDescent="0.15">
      <c r="A198" s="7"/>
      <c r="B198" s="1">
        <f t="shared" si="24"/>
        <v>17</v>
      </c>
      <c r="C198" s="1">
        <v>197</v>
      </c>
      <c r="D198" s="1" t="str">
        <f>_xlfn.XLOOKUP( C198, 'FP Ranking'!$A$2:$A$544, 'FP Ranking'!$C$2:$C$544 )</f>
        <v>Kendre Miller</v>
      </c>
      <c r="E198" s="8" t="b">
        <v>0</v>
      </c>
      <c r="F198" s="8" t="b">
        <v>0</v>
      </c>
      <c r="G198" s="1">
        <f xml:space="preserve"> _xlfn.XLOOKUP(  D198, 'ESPN Ranking'!$B$2:$B$544, 'ESPN Ranking'!$A$2:$A$544 )</f>
        <v>162</v>
      </c>
      <c r="H198" s="1">
        <f>_xlfn.XLOOKUP( C198, 'FP Ranking'!$A$2:$A$544, 'FP Ranking'!$B$2:$B$544 )</f>
        <v>9</v>
      </c>
      <c r="I198" s="1" t="str">
        <f>_xlfn.XLOOKUP( C198, 'FP Ranking'!$A$2:$A$544, 'FP Ranking'!$D$2:$D$544 )</f>
        <v>NO</v>
      </c>
      <c r="J198" s="1" t="str" cm="1">
        <f t="array" ref="J198">LEFT(_xlfn.XLOOKUP(C198, 'FP Ranking'!$A$2:$A$544, 'FP Ranking'!$E$2:$E$544), MIN(SEARCH({1,2,3,4,5,6,7,8,9,0}, _xlfn.XLOOKUP(C198, 'FP Ranking'!$A$2:$A$544, 'FP Ranking'!$E$2:$E$544)&amp;{1,2,3,4,5,6,7,8,9,0}))-1)</f>
        <v>RB</v>
      </c>
      <c r="K198" s="1">
        <f t="shared" si="25"/>
        <v>-35</v>
      </c>
      <c r="L198" s="9">
        <f t="shared" si="26"/>
        <v>-5.1756001479298749E-2</v>
      </c>
      <c r="M198" s="2">
        <f t="shared" si="27"/>
        <v>1.4999999999999999E-2</v>
      </c>
    </row>
    <row r="199" spans="1:13" ht="13" x14ac:dyDescent="0.15">
      <c r="A199" s="7"/>
      <c r="B199" s="1">
        <f t="shared" si="24"/>
        <v>17</v>
      </c>
      <c r="C199" s="1">
        <v>198</v>
      </c>
      <c r="D199" s="1" t="str">
        <f>_xlfn.XLOOKUP( C199, 'FP Ranking'!$A$2:$A$544, 'FP Ranking'!$C$2:$C$544 )</f>
        <v>Justice Hill</v>
      </c>
      <c r="E199" s="8" t="b">
        <v>0</v>
      </c>
      <c r="F199" s="8" t="b">
        <v>0</v>
      </c>
      <c r="G199" s="1">
        <f xml:space="preserve"> _xlfn.XLOOKUP(  D199, 'ESPN Ranking'!$B$2:$B$544, 'ESPN Ranking'!$A$2:$A$544 )</f>
        <v>196</v>
      </c>
      <c r="H199" s="1">
        <f>_xlfn.XLOOKUP( C199, 'FP Ranking'!$A$2:$A$544, 'FP Ranking'!$B$2:$B$544 )</f>
        <v>9</v>
      </c>
      <c r="I199" s="1" t="str">
        <f>_xlfn.XLOOKUP( C199, 'FP Ranking'!$A$2:$A$544, 'FP Ranking'!$D$2:$D$544 )</f>
        <v>BAL</v>
      </c>
      <c r="J199" s="1" t="str" cm="1">
        <f t="array" ref="J199">LEFT(_xlfn.XLOOKUP(C199, 'FP Ranking'!$A$2:$A$544, 'FP Ranking'!$E$2:$E$544), MIN(SEARCH({1,2,3,4,5,6,7,8,9,0}, _xlfn.XLOOKUP(C199, 'FP Ranking'!$A$2:$A$544, 'FP Ranking'!$E$2:$E$544)&amp;{1,2,3,4,5,6,7,8,9,0}))-1)</f>
        <v>RB</v>
      </c>
      <c r="K199" s="1">
        <f t="shared" si="25"/>
        <v>-2</v>
      </c>
      <c r="L199" s="9">
        <f t="shared" si="26"/>
        <v>-2.9546541256915103E-3</v>
      </c>
      <c r="M199" s="2">
        <f t="shared" si="27"/>
        <v>0.40699999999999997</v>
      </c>
    </row>
    <row r="200" spans="1:13" ht="13" x14ac:dyDescent="0.15">
      <c r="A200" s="7"/>
      <c r="B200" s="1">
        <f t="shared" si="24"/>
        <v>17</v>
      </c>
      <c r="C200" s="1">
        <v>199</v>
      </c>
      <c r="D200" s="1" t="str">
        <f>_xlfn.XLOOKUP( C200, 'FP Ranking'!$A$2:$A$544, 'FP Ranking'!$C$2:$C$544 )</f>
        <v>Elic Ayomanor</v>
      </c>
      <c r="E200" s="8" t="b">
        <v>0</v>
      </c>
      <c r="F200" s="8" t="b">
        <v>0</v>
      </c>
      <c r="G200" s="1">
        <f xml:space="preserve"> _xlfn.XLOOKUP(  D200, 'ESPN Ranking'!$B$2:$B$544, 'ESPN Ranking'!$A$2:$A$544 )</f>
        <v>203</v>
      </c>
      <c r="H200" s="1">
        <f>_xlfn.XLOOKUP( C200, 'FP Ranking'!$A$2:$A$544, 'FP Ranking'!$B$2:$B$544 )</f>
        <v>9</v>
      </c>
      <c r="I200" s="1" t="str">
        <f>_xlfn.XLOOKUP( C200, 'FP Ranking'!$A$2:$A$544, 'FP Ranking'!$D$2:$D$544 )</f>
        <v>TEN</v>
      </c>
      <c r="J200" s="1" t="str" cm="1">
        <f t="array" ref="J200">LEFT(_xlfn.XLOOKUP(C200, 'FP Ranking'!$A$2:$A$544, 'FP Ranking'!$E$2:$E$544), MIN(SEARCH({1,2,3,4,5,6,7,8,9,0}, _xlfn.XLOOKUP(C200, 'FP Ranking'!$A$2:$A$544, 'FP Ranking'!$E$2:$E$544)&amp;{1,2,3,4,5,6,7,8,9,0}))-1)</f>
        <v>WR</v>
      </c>
      <c r="K200" s="1">
        <f t="shared" si="25"/>
        <v>4</v>
      </c>
      <c r="L200" s="9">
        <f t="shared" si="26"/>
        <v>5.9036841887575428E-3</v>
      </c>
      <c r="M200" s="2">
        <f t="shared" si="27"/>
        <v>0.58199999999999996</v>
      </c>
    </row>
    <row r="201" spans="1:13" ht="13" x14ac:dyDescent="0.15">
      <c r="A201" s="7"/>
      <c r="B201" s="1">
        <f t="shared" si="24"/>
        <v>17</v>
      </c>
      <c r="C201" s="1">
        <v>200</v>
      </c>
      <c r="D201" s="1" t="str">
        <f>_xlfn.XLOOKUP( C201, 'FP Ranking'!$A$2:$A$544, 'FP Ranking'!$C$2:$C$544 )</f>
        <v>Jaylen Wright</v>
      </c>
      <c r="E201" s="8" t="b">
        <v>0</v>
      </c>
      <c r="F201" s="8" t="b">
        <v>0</v>
      </c>
      <c r="G201" s="1">
        <f xml:space="preserve"> _xlfn.XLOOKUP(  D201, 'ESPN Ranking'!$B$2:$B$544, 'ESPN Ranking'!$A$2:$A$544 )</f>
        <v>241</v>
      </c>
      <c r="H201" s="1">
        <f>_xlfn.XLOOKUP( C201, 'FP Ranking'!$A$2:$A$544, 'FP Ranking'!$B$2:$B$544 )</f>
        <v>9</v>
      </c>
      <c r="I201" s="1" t="str">
        <f>_xlfn.XLOOKUP( C201, 'FP Ranking'!$A$2:$A$544, 'FP Ranking'!$D$2:$D$544 )</f>
        <v>MIA</v>
      </c>
      <c r="J201" s="1" t="str" cm="1">
        <f t="array" ref="J201">LEFT(_xlfn.XLOOKUP(C201, 'FP Ranking'!$A$2:$A$544, 'FP Ranking'!$E$2:$E$544), MIN(SEARCH({1,2,3,4,5,6,7,8,9,0}, _xlfn.XLOOKUP(C201, 'FP Ranking'!$A$2:$A$544, 'FP Ranking'!$E$2:$E$544)&amp;{1,2,3,4,5,6,7,8,9,0}))-1)</f>
        <v>RB</v>
      </c>
      <c r="K201" s="1">
        <f t="shared" si="25"/>
        <v>41</v>
      </c>
      <c r="L201" s="9">
        <f t="shared" si="26"/>
        <v>6.0455514050999595E-2</v>
      </c>
      <c r="M201" s="2">
        <f t="shared" si="27"/>
        <v>0.90400000000000003</v>
      </c>
    </row>
    <row r="202" spans="1:13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9"/>
      <c r="M202" s="2"/>
    </row>
    <row r="203" spans="1:13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9"/>
      <c r="M203" s="2"/>
    </row>
    <row r="204" spans="1:13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9"/>
      <c r="M204" s="2"/>
    </row>
    <row r="205" spans="1:13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9"/>
      <c r="M205" s="2"/>
    </row>
    <row r="206" spans="1:13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9"/>
      <c r="M206" s="2"/>
    </row>
    <row r="207" spans="1:13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9"/>
      <c r="M207" s="2"/>
    </row>
    <row r="208" spans="1:13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9"/>
      <c r="M208" s="2"/>
    </row>
    <row r="209" spans="1:13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9"/>
      <c r="M209" s="2"/>
    </row>
    <row r="210" spans="1:13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9"/>
      <c r="M210" s="2"/>
    </row>
    <row r="211" spans="1:13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9"/>
      <c r="M211" s="2"/>
    </row>
    <row r="212" spans="1:13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9"/>
      <c r="M212" s="2"/>
    </row>
    <row r="213" spans="1:13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9"/>
      <c r="M213" s="2"/>
    </row>
    <row r="214" spans="1:13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9"/>
      <c r="M214" s="2"/>
    </row>
    <row r="215" spans="1:13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9"/>
      <c r="M215" s="2"/>
    </row>
    <row r="216" spans="1:13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9"/>
      <c r="M216" s="2"/>
    </row>
    <row r="217" spans="1:13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9"/>
      <c r="M217" s="2"/>
    </row>
    <row r="218" spans="1:13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9"/>
      <c r="M218" s="2"/>
    </row>
    <row r="219" spans="1:13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9"/>
      <c r="M219" s="2"/>
    </row>
    <row r="220" spans="1:13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9"/>
      <c r="M220" s="2"/>
    </row>
    <row r="221" spans="1:13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9"/>
      <c r="M221" s="2"/>
    </row>
    <row r="222" spans="1:13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9"/>
      <c r="M222" s="2"/>
    </row>
    <row r="223" spans="1:13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9"/>
      <c r="M223" s="2"/>
    </row>
    <row r="224" spans="1:13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9"/>
      <c r="M224" s="2"/>
    </row>
    <row r="225" spans="1:13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9"/>
      <c r="M225" s="2"/>
    </row>
    <row r="226" spans="1:13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9"/>
      <c r="M226" s="2"/>
    </row>
    <row r="227" spans="1:13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9"/>
      <c r="M227" s="2"/>
    </row>
    <row r="228" spans="1:13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9"/>
      <c r="M228" s="2"/>
    </row>
    <row r="229" spans="1:13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9"/>
      <c r="M229" s="2"/>
    </row>
    <row r="230" spans="1:13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9"/>
      <c r="M230" s="2"/>
    </row>
    <row r="231" spans="1:13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9"/>
      <c r="M231" s="2"/>
    </row>
    <row r="232" spans="1:13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9"/>
      <c r="M232" s="2"/>
    </row>
    <row r="233" spans="1:13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9"/>
      <c r="M233" s="2"/>
    </row>
    <row r="234" spans="1:13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9"/>
      <c r="M234" s="2"/>
    </row>
    <row r="235" spans="1:13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9"/>
      <c r="M235" s="2"/>
    </row>
    <row r="236" spans="1:13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9"/>
      <c r="M236" s="2"/>
    </row>
    <row r="237" spans="1:13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9"/>
      <c r="M237" s="2"/>
    </row>
    <row r="238" spans="1:13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9"/>
      <c r="M238" s="2"/>
    </row>
    <row r="239" spans="1:13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9"/>
      <c r="M239" s="2"/>
    </row>
    <row r="240" spans="1:13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9"/>
      <c r="M240" s="2"/>
    </row>
    <row r="241" spans="1:13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9"/>
      <c r="M241" s="2"/>
    </row>
    <row r="242" spans="1:13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9"/>
      <c r="M242" s="2"/>
    </row>
    <row r="243" spans="1:13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9"/>
      <c r="M243" s="2"/>
    </row>
    <row r="244" spans="1:13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9"/>
      <c r="M244" s="2"/>
    </row>
    <row r="245" spans="1:13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9"/>
      <c r="M245" s="2"/>
    </row>
    <row r="246" spans="1:13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9"/>
      <c r="M246" s="2"/>
    </row>
    <row r="247" spans="1:13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9"/>
      <c r="M247" s="2"/>
    </row>
    <row r="248" spans="1:13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9"/>
      <c r="M248" s="2"/>
    </row>
    <row r="249" spans="1:13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9"/>
      <c r="M249" s="2"/>
    </row>
    <row r="250" spans="1:13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9"/>
      <c r="M250" s="2"/>
    </row>
    <row r="251" spans="1:13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9"/>
      <c r="M251" s="2"/>
    </row>
    <row r="252" spans="1:13" ht="13" x14ac:dyDescent="0.15">
      <c r="M252" s="2"/>
    </row>
    <row r="253" spans="1:13" ht="13" x14ac:dyDescent="0.15">
      <c r="M253" s="2"/>
    </row>
    <row r="254" spans="1:13" ht="13" x14ac:dyDescent="0.15">
      <c r="M254" s="2"/>
    </row>
    <row r="255" spans="1:13" ht="13" x14ac:dyDescent="0.15">
      <c r="M255" s="2"/>
    </row>
    <row r="256" spans="1:13" ht="13" x14ac:dyDescent="0.15">
      <c r="M256" s="2"/>
    </row>
    <row r="257" spans="13:13" ht="13" x14ac:dyDescent="0.15">
      <c r="M257" s="2"/>
    </row>
    <row r="258" spans="13:13" ht="13" x14ac:dyDescent="0.15">
      <c r="M258" s="2"/>
    </row>
    <row r="259" spans="13:13" ht="13" x14ac:dyDescent="0.15">
      <c r="M259" s="2"/>
    </row>
    <row r="260" spans="13:13" ht="13" x14ac:dyDescent="0.15">
      <c r="M260" s="2"/>
    </row>
    <row r="261" spans="13:13" ht="13" x14ac:dyDescent="0.15">
      <c r="M261" s="2"/>
    </row>
    <row r="262" spans="13:13" ht="13" x14ac:dyDescent="0.15">
      <c r="M262" s="2"/>
    </row>
    <row r="263" spans="13:13" ht="13" x14ac:dyDescent="0.15">
      <c r="M263" s="2"/>
    </row>
    <row r="264" spans="13:13" ht="13" x14ac:dyDescent="0.15">
      <c r="M264" s="2"/>
    </row>
    <row r="265" spans="13:13" ht="13" x14ac:dyDescent="0.15">
      <c r="M265" s="2"/>
    </row>
    <row r="266" spans="13:13" ht="13" x14ac:dyDescent="0.15">
      <c r="M266" s="2"/>
    </row>
    <row r="267" spans="13:13" ht="13" x14ac:dyDescent="0.15">
      <c r="M267" s="2"/>
    </row>
    <row r="268" spans="13:13" ht="13" x14ac:dyDescent="0.15">
      <c r="M268" s="2"/>
    </row>
    <row r="269" spans="13:13" ht="13" x14ac:dyDescent="0.15">
      <c r="M269" s="2"/>
    </row>
    <row r="270" spans="13:13" ht="13" x14ac:dyDescent="0.15">
      <c r="M270" s="2"/>
    </row>
    <row r="271" spans="13:13" ht="13" x14ac:dyDescent="0.15">
      <c r="M271" s="2"/>
    </row>
    <row r="272" spans="13:13" ht="13" x14ac:dyDescent="0.15">
      <c r="M272" s="2"/>
    </row>
    <row r="273" spans="13:13" ht="13" x14ac:dyDescent="0.15">
      <c r="M273" s="2"/>
    </row>
    <row r="274" spans="13:13" ht="13" x14ac:dyDescent="0.15">
      <c r="M274" s="2"/>
    </row>
    <row r="275" spans="13:13" ht="13" x14ac:dyDescent="0.15">
      <c r="M275" s="2"/>
    </row>
    <row r="276" spans="13:13" ht="13" x14ac:dyDescent="0.15">
      <c r="M276" s="2"/>
    </row>
    <row r="277" spans="13:13" ht="13" x14ac:dyDescent="0.15">
      <c r="M277" s="2"/>
    </row>
    <row r="278" spans="13:13" ht="13" x14ac:dyDescent="0.15">
      <c r="M278" s="2"/>
    </row>
    <row r="279" spans="13:13" ht="13" x14ac:dyDescent="0.15">
      <c r="M279" s="2"/>
    </row>
    <row r="280" spans="13:13" ht="13" x14ac:dyDescent="0.15">
      <c r="M280" s="2"/>
    </row>
    <row r="281" spans="13:13" ht="13" x14ac:dyDescent="0.15">
      <c r="M281" s="2"/>
    </row>
    <row r="282" spans="13:13" ht="13" x14ac:dyDescent="0.15">
      <c r="M282" s="2"/>
    </row>
    <row r="283" spans="13:13" ht="13" x14ac:dyDescent="0.15">
      <c r="M283" s="2"/>
    </row>
    <row r="284" spans="13:13" ht="13" x14ac:dyDescent="0.15">
      <c r="M284" s="2"/>
    </row>
    <row r="285" spans="13:13" ht="13" x14ac:dyDescent="0.15">
      <c r="M285" s="2"/>
    </row>
    <row r="286" spans="13:13" ht="13" x14ac:dyDescent="0.15">
      <c r="M286" s="2"/>
    </row>
    <row r="287" spans="13:13" ht="13" x14ac:dyDescent="0.15">
      <c r="M287" s="2"/>
    </row>
    <row r="288" spans="13:13" ht="13" x14ac:dyDescent="0.15">
      <c r="M288" s="2"/>
    </row>
    <row r="289" spans="13:13" ht="13" x14ac:dyDescent="0.15">
      <c r="M289" s="2"/>
    </row>
    <row r="290" spans="13:13" ht="13" x14ac:dyDescent="0.15">
      <c r="M290" s="2"/>
    </row>
    <row r="291" spans="13:13" ht="13" x14ac:dyDescent="0.15">
      <c r="M291" s="2"/>
    </row>
    <row r="292" spans="13:13" ht="13" x14ac:dyDescent="0.15">
      <c r="M292" s="2"/>
    </row>
    <row r="293" spans="13:13" ht="13" x14ac:dyDescent="0.15">
      <c r="M293" s="2"/>
    </row>
    <row r="294" spans="13:13" ht="13" x14ac:dyDescent="0.15">
      <c r="M294" s="2"/>
    </row>
    <row r="295" spans="13:13" ht="13" x14ac:dyDescent="0.15">
      <c r="M295" s="2"/>
    </row>
    <row r="296" spans="13:13" ht="13" x14ac:dyDescent="0.15">
      <c r="M296" s="2"/>
    </row>
    <row r="297" spans="13:13" ht="13" x14ac:dyDescent="0.15">
      <c r="M297" s="2"/>
    </row>
    <row r="298" spans="13:13" ht="13" x14ac:dyDescent="0.15">
      <c r="M298" s="2"/>
    </row>
    <row r="299" spans="13:13" ht="13" x14ac:dyDescent="0.15">
      <c r="M299" s="2"/>
    </row>
    <row r="300" spans="13:13" ht="13" x14ac:dyDescent="0.15">
      <c r="M300" s="2"/>
    </row>
    <row r="301" spans="13:13" ht="13" x14ac:dyDescent="0.15">
      <c r="M301" s="2"/>
    </row>
    <row r="302" spans="13:13" ht="13" x14ac:dyDescent="0.15">
      <c r="M302" s="2"/>
    </row>
    <row r="303" spans="13:13" ht="13" x14ac:dyDescent="0.15">
      <c r="M303" s="2"/>
    </row>
    <row r="304" spans="13:13" ht="13" x14ac:dyDescent="0.15">
      <c r="M304" s="2"/>
    </row>
    <row r="305" spans="13:13" ht="13" x14ac:dyDescent="0.15">
      <c r="M305" s="2"/>
    </row>
    <row r="306" spans="13:13" ht="13" x14ac:dyDescent="0.15">
      <c r="M306" s="2"/>
    </row>
    <row r="307" spans="13:13" ht="13" x14ac:dyDescent="0.15">
      <c r="M307" s="2"/>
    </row>
    <row r="308" spans="13:13" ht="13" x14ac:dyDescent="0.15">
      <c r="M308" s="2"/>
    </row>
    <row r="309" spans="13:13" ht="13" x14ac:dyDescent="0.15">
      <c r="M309" s="2"/>
    </row>
    <row r="310" spans="13:13" ht="13" x14ac:dyDescent="0.15">
      <c r="M310" s="2"/>
    </row>
    <row r="311" spans="13:13" ht="13" x14ac:dyDescent="0.15">
      <c r="M311" s="2"/>
    </row>
    <row r="312" spans="13:13" ht="13" x14ac:dyDescent="0.15">
      <c r="M312" s="2"/>
    </row>
    <row r="313" spans="13:13" ht="13" x14ac:dyDescent="0.15">
      <c r="M313" s="2"/>
    </row>
    <row r="314" spans="13:13" ht="13" x14ac:dyDescent="0.15">
      <c r="M314" s="2"/>
    </row>
    <row r="315" spans="13:13" ht="13" x14ac:dyDescent="0.15">
      <c r="M315" s="2"/>
    </row>
    <row r="316" spans="13:13" ht="13" x14ac:dyDescent="0.15">
      <c r="M316" s="2"/>
    </row>
    <row r="317" spans="13:13" ht="13" x14ac:dyDescent="0.15">
      <c r="M317" s="2"/>
    </row>
    <row r="318" spans="13:13" ht="13" x14ac:dyDescent="0.15">
      <c r="M318" s="2"/>
    </row>
    <row r="319" spans="13:13" ht="13" x14ac:dyDescent="0.15">
      <c r="M319" s="2"/>
    </row>
    <row r="320" spans="13:13" ht="13" x14ac:dyDescent="0.15">
      <c r="M320" s="2"/>
    </row>
    <row r="321" spans="13:13" ht="13" x14ac:dyDescent="0.15">
      <c r="M321" s="2"/>
    </row>
    <row r="322" spans="13:13" ht="13" x14ac:dyDescent="0.15">
      <c r="M322" s="2"/>
    </row>
    <row r="323" spans="13:13" ht="13" x14ac:dyDescent="0.15">
      <c r="M323" s="2"/>
    </row>
    <row r="324" spans="13:13" ht="13" x14ac:dyDescent="0.15">
      <c r="M324" s="2"/>
    </row>
    <row r="325" spans="13:13" ht="13" x14ac:dyDescent="0.15">
      <c r="M325" s="2"/>
    </row>
    <row r="326" spans="13:13" ht="13" x14ac:dyDescent="0.15">
      <c r="M326" s="2"/>
    </row>
    <row r="327" spans="13:13" ht="13" x14ac:dyDescent="0.15">
      <c r="M327" s="2"/>
    </row>
    <row r="328" spans="13:13" ht="13" x14ac:dyDescent="0.15">
      <c r="M328" s="2"/>
    </row>
    <row r="329" spans="13:13" ht="13" x14ac:dyDescent="0.15">
      <c r="M329" s="2"/>
    </row>
    <row r="330" spans="13:13" ht="13" x14ac:dyDescent="0.15">
      <c r="M330" s="2"/>
    </row>
    <row r="331" spans="13:13" ht="13" x14ac:dyDescent="0.15">
      <c r="M331" s="2"/>
    </row>
    <row r="332" spans="13:13" ht="13" x14ac:dyDescent="0.15">
      <c r="M332" s="2"/>
    </row>
    <row r="333" spans="13:13" ht="13" x14ac:dyDescent="0.15">
      <c r="M333" s="2"/>
    </row>
    <row r="334" spans="13:13" ht="13" x14ac:dyDescent="0.15">
      <c r="M334" s="2"/>
    </row>
    <row r="335" spans="13:13" ht="13" x14ac:dyDescent="0.15">
      <c r="M335" s="2"/>
    </row>
    <row r="336" spans="13:13" ht="13" x14ac:dyDescent="0.15">
      <c r="M336" s="2"/>
    </row>
    <row r="337" spans="13:13" ht="13" x14ac:dyDescent="0.15">
      <c r="M337" s="2"/>
    </row>
    <row r="338" spans="13:13" ht="13" x14ac:dyDescent="0.15">
      <c r="M338" s="2"/>
    </row>
    <row r="339" spans="13:13" ht="13" x14ac:dyDescent="0.15">
      <c r="M339" s="2"/>
    </row>
    <row r="340" spans="13:13" ht="13" x14ac:dyDescent="0.15">
      <c r="M340" s="2"/>
    </row>
    <row r="341" spans="13:13" ht="13" x14ac:dyDescent="0.15">
      <c r="M341" s="2"/>
    </row>
    <row r="342" spans="13:13" ht="13" x14ac:dyDescent="0.15">
      <c r="M342" s="2"/>
    </row>
    <row r="343" spans="13:13" ht="13" x14ac:dyDescent="0.15">
      <c r="M343" s="2"/>
    </row>
    <row r="344" spans="13:13" ht="13" x14ac:dyDescent="0.15">
      <c r="M344" s="2"/>
    </row>
    <row r="345" spans="13:13" ht="13" x14ac:dyDescent="0.15">
      <c r="M345" s="2"/>
    </row>
    <row r="346" spans="13:13" ht="13" x14ac:dyDescent="0.15">
      <c r="M346" s="2"/>
    </row>
    <row r="347" spans="13:13" ht="13" x14ac:dyDescent="0.15">
      <c r="M347" s="2"/>
    </row>
    <row r="348" spans="13:13" ht="13" x14ac:dyDescent="0.15">
      <c r="M348" s="2"/>
    </row>
    <row r="349" spans="13:13" ht="13" x14ac:dyDescent="0.15">
      <c r="M349" s="2"/>
    </row>
    <row r="350" spans="13:13" ht="13" x14ac:dyDescent="0.15">
      <c r="M350" s="2"/>
    </row>
    <row r="351" spans="13:13" ht="13" x14ac:dyDescent="0.15">
      <c r="M351" s="2"/>
    </row>
    <row r="352" spans="13:13" ht="13" x14ac:dyDescent="0.15">
      <c r="M352" s="2"/>
    </row>
    <row r="353" spans="13:13" ht="13" x14ac:dyDescent="0.15">
      <c r="M353" s="2"/>
    </row>
    <row r="354" spans="13:13" ht="13" x14ac:dyDescent="0.15">
      <c r="M354" s="2"/>
    </row>
    <row r="355" spans="13:13" ht="13" x14ac:dyDescent="0.15">
      <c r="M355" s="2"/>
    </row>
    <row r="356" spans="13:13" ht="13" x14ac:dyDescent="0.15">
      <c r="M356" s="2"/>
    </row>
    <row r="357" spans="13:13" ht="13" x14ac:dyDescent="0.15">
      <c r="M357" s="2"/>
    </row>
    <row r="358" spans="13:13" ht="13" x14ac:dyDescent="0.15">
      <c r="M358" s="2"/>
    </row>
    <row r="359" spans="13:13" ht="13" x14ac:dyDescent="0.15">
      <c r="M359" s="2"/>
    </row>
    <row r="360" spans="13:13" ht="13" x14ac:dyDescent="0.15">
      <c r="M360" s="2"/>
    </row>
    <row r="361" spans="13:13" ht="13" x14ac:dyDescent="0.15">
      <c r="M361" s="2"/>
    </row>
    <row r="362" spans="13:13" ht="13" x14ac:dyDescent="0.15">
      <c r="M362" s="2"/>
    </row>
    <row r="363" spans="13:13" ht="13" x14ac:dyDescent="0.15">
      <c r="M363" s="2"/>
    </row>
    <row r="364" spans="13:13" ht="13" x14ac:dyDescent="0.15">
      <c r="M364" s="2"/>
    </row>
    <row r="365" spans="13:13" ht="13" x14ac:dyDescent="0.15">
      <c r="M365" s="2"/>
    </row>
    <row r="366" spans="13:13" ht="13" x14ac:dyDescent="0.15">
      <c r="M366" s="2"/>
    </row>
    <row r="367" spans="13:13" ht="13" x14ac:dyDescent="0.15">
      <c r="M367" s="2"/>
    </row>
    <row r="368" spans="13:13" ht="13" x14ac:dyDescent="0.15">
      <c r="M368" s="2"/>
    </row>
    <row r="369" spans="13:13" ht="13" x14ac:dyDescent="0.15">
      <c r="M369" s="2"/>
    </row>
    <row r="370" spans="13:13" ht="13" x14ac:dyDescent="0.15">
      <c r="M370" s="2"/>
    </row>
    <row r="371" spans="13:13" ht="13" x14ac:dyDescent="0.15">
      <c r="M371" s="2"/>
    </row>
    <row r="372" spans="13:13" ht="13" x14ac:dyDescent="0.15">
      <c r="M372" s="2"/>
    </row>
    <row r="373" spans="13:13" ht="13" x14ac:dyDescent="0.15">
      <c r="M373" s="2"/>
    </row>
    <row r="374" spans="13:13" ht="13" x14ac:dyDescent="0.15">
      <c r="M374" s="2"/>
    </row>
    <row r="375" spans="13:13" ht="13" x14ac:dyDescent="0.15">
      <c r="M375" s="2"/>
    </row>
    <row r="376" spans="13:13" ht="13" x14ac:dyDescent="0.15">
      <c r="M376" s="2"/>
    </row>
    <row r="377" spans="13:13" ht="13" x14ac:dyDescent="0.15">
      <c r="M377" s="2"/>
    </row>
    <row r="378" spans="13:13" ht="13" x14ac:dyDescent="0.15">
      <c r="M378" s="2"/>
    </row>
    <row r="379" spans="13:13" ht="13" x14ac:dyDescent="0.15">
      <c r="M379" s="2"/>
    </row>
    <row r="380" spans="13:13" ht="13" x14ac:dyDescent="0.15">
      <c r="M380" s="2"/>
    </row>
    <row r="381" spans="13:13" ht="13" x14ac:dyDescent="0.15">
      <c r="M381" s="2"/>
    </row>
    <row r="382" spans="13:13" ht="13" x14ac:dyDescent="0.15">
      <c r="M382" s="2"/>
    </row>
    <row r="383" spans="13:13" ht="13" x14ac:dyDescent="0.15">
      <c r="M383" s="2"/>
    </row>
    <row r="384" spans="13:13" ht="13" x14ac:dyDescent="0.15">
      <c r="M384" s="2"/>
    </row>
    <row r="385" spans="13:13" ht="13" x14ac:dyDescent="0.15">
      <c r="M385" s="2"/>
    </row>
    <row r="386" spans="13:13" ht="13" x14ac:dyDescent="0.15">
      <c r="M386" s="2"/>
    </row>
    <row r="387" spans="13:13" ht="13" x14ac:dyDescent="0.15">
      <c r="M387" s="2"/>
    </row>
    <row r="388" spans="13:13" ht="13" x14ac:dyDescent="0.15">
      <c r="M388" s="2"/>
    </row>
    <row r="389" spans="13:13" ht="13" x14ac:dyDescent="0.15">
      <c r="M389" s="2"/>
    </row>
    <row r="390" spans="13:13" ht="13" x14ac:dyDescent="0.15">
      <c r="M390" s="2"/>
    </row>
    <row r="391" spans="13:13" ht="13" x14ac:dyDescent="0.15">
      <c r="M391" s="2"/>
    </row>
    <row r="392" spans="13:13" ht="13" x14ac:dyDescent="0.15">
      <c r="M392" s="2"/>
    </row>
    <row r="393" spans="13:13" ht="13" x14ac:dyDescent="0.15">
      <c r="M393" s="2"/>
    </row>
    <row r="394" spans="13:13" ht="13" x14ac:dyDescent="0.15">
      <c r="M394" s="2"/>
    </row>
    <row r="395" spans="13:13" ht="13" x14ac:dyDescent="0.15">
      <c r="M395" s="2"/>
    </row>
    <row r="396" spans="13:13" ht="13" x14ac:dyDescent="0.15">
      <c r="M396" s="2"/>
    </row>
    <row r="397" spans="13:13" ht="13" x14ac:dyDescent="0.15">
      <c r="M397" s="2"/>
    </row>
    <row r="398" spans="13:13" ht="13" x14ac:dyDescent="0.15">
      <c r="M398" s="2"/>
    </row>
    <row r="399" spans="13:13" ht="13" x14ac:dyDescent="0.15">
      <c r="M399" s="2"/>
    </row>
    <row r="400" spans="13:13" ht="13" x14ac:dyDescent="0.15">
      <c r="M400" s="2"/>
    </row>
    <row r="401" spans="13:13" ht="13" x14ac:dyDescent="0.15">
      <c r="M401" s="2"/>
    </row>
    <row r="402" spans="13:13" ht="13" x14ac:dyDescent="0.15">
      <c r="M402" s="2"/>
    </row>
    <row r="403" spans="13:13" ht="13" x14ac:dyDescent="0.15">
      <c r="M403" s="2"/>
    </row>
    <row r="404" spans="13:13" ht="13" x14ac:dyDescent="0.15">
      <c r="M404" s="2"/>
    </row>
    <row r="405" spans="13:13" ht="13" x14ac:dyDescent="0.15">
      <c r="M405" s="2"/>
    </row>
    <row r="406" spans="13:13" ht="13" x14ac:dyDescent="0.15">
      <c r="M406" s="2"/>
    </row>
    <row r="407" spans="13:13" ht="13" x14ac:dyDescent="0.15">
      <c r="M407" s="2"/>
    </row>
    <row r="408" spans="13:13" ht="13" x14ac:dyDescent="0.15">
      <c r="M408" s="2"/>
    </row>
    <row r="409" spans="13:13" ht="13" x14ac:dyDescent="0.15">
      <c r="M409" s="2"/>
    </row>
    <row r="410" spans="13:13" ht="13" x14ac:dyDescent="0.15">
      <c r="M410" s="2"/>
    </row>
    <row r="411" spans="13:13" ht="13" x14ac:dyDescent="0.15">
      <c r="M411" s="2"/>
    </row>
    <row r="412" spans="13:13" ht="13" x14ac:dyDescent="0.15">
      <c r="M412" s="2"/>
    </row>
    <row r="413" spans="13:13" ht="13" x14ac:dyDescent="0.15">
      <c r="M413" s="2"/>
    </row>
    <row r="414" spans="13:13" ht="13" x14ac:dyDescent="0.15">
      <c r="M414" s="2"/>
    </row>
    <row r="415" spans="13:13" ht="13" x14ac:dyDescent="0.15">
      <c r="M415" s="2"/>
    </row>
    <row r="416" spans="13:13" ht="13" x14ac:dyDescent="0.15">
      <c r="M416" s="2"/>
    </row>
    <row r="417" spans="13:13" ht="13" x14ac:dyDescent="0.15">
      <c r="M417" s="2"/>
    </row>
    <row r="418" spans="13:13" ht="13" x14ac:dyDescent="0.15">
      <c r="M418" s="2"/>
    </row>
    <row r="419" spans="13:13" ht="13" x14ac:dyDescent="0.15">
      <c r="M419" s="2"/>
    </row>
    <row r="420" spans="13:13" ht="13" x14ac:dyDescent="0.15">
      <c r="M420" s="2"/>
    </row>
    <row r="421" spans="13:13" ht="13" x14ac:dyDescent="0.15">
      <c r="M421" s="2"/>
    </row>
    <row r="422" spans="13:13" ht="13" x14ac:dyDescent="0.15">
      <c r="M422" s="2"/>
    </row>
    <row r="423" spans="13:13" ht="13" x14ac:dyDescent="0.15">
      <c r="M423" s="2"/>
    </row>
    <row r="424" spans="13:13" ht="13" x14ac:dyDescent="0.15">
      <c r="M424" s="2"/>
    </row>
    <row r="425" spans="13:13" ht="13" x14ac:dyDescent="0.15">
      <c r="M425" s="2"/>
    </row>
    <row r="426" spans="13:13" ht="13" x14ac:dyDescent="0.15">
      <c r="M426" s="2"/>
    </row>
    <row r="427" spans="13:13" ht="13" x14ac:dyDescent="0.15">
      <c r="M427" s="2"/>
    </row>
    <row r="428" spans="13:13" ht="13" x14ac:dyDescent="0.15">
      <c r="M428" s="2"/>
    </row>
    <row r="429" spans="13:13" ht="13" x14ac:dyDescent="0.15">
      <c r="M429" s="2"/>
    </row>
    <row r="430" spans="13:13" ht="13" x14ac:dyDescent="0.15">
      <c r="M430" s="2"/>
    </row>
    <row r="431" spans="13:13" ht="13" x14ac:dyDescent="0.15">
      <c r="M431" s="2"/>
    </row>
    <row r="432" spans="13:13" ht="13" x14ac:dyDescent="0.15">
      <c r="M432" s="2"/>
    </row>
    <row r="433" spans="13:13" ht="13" x14ac:dyDescent="0.15">
      <c r="M433" s="2"/>
    </row>
    <row r="434" spans="13:13" ht="13" x14ac:dyDescent="0.15">
      <c r="M434" s="2"/>
    </row>
    <row r="435" spans="13:13" ht="13" x14ac:dyDescent="0.15">
      <c r="M435" s="2"/>
    </row>
    <row r="436" spans="13:13" ht="13" x14ac:dyDescent="0.15">
      <c r="M436" s="2"/>
    </row>
    <row r="437" spans="13:13" ht="13" x14ac:dyDescent="0.15">
      <c r="M437" s="2"/>
    </row>
    <row r="438" spans="13:13" ht="13" x14ac:dyDescent="0.15">
      <c r="M438" s="2"/>
    </row>
    <row r="439" spans="13:13" ht="13" x14ac:dyDescent="0.15">
      <c r="M439" s="2"/>
    </row>
    <row r="440" spans="13:13" ht="13" x14ac:dyDescent="0.15">
      <c r="M440" s="2"/>
    </row>
    <row r="441" spans="13:13" ht="13" x14ac:dyDescent="0.15">
      <c r="M441" s="2"/>
    </row>
    <row r="442" spans="13:13" ht="13" x14ac:dyDescent="0.15">
      <c r="M442" s="2"/>
    </row>
    <row r="443" spans="13:13" ht="13" x14ac:dyDescent="0.15">
      <c r="M443" s="2"/>
    </row>
    <row r="444" spans="13:13" ht="13" x14ac:dyDescent="0.15">
      <c r="M444" s="2"/>
    </row>
    <row r="445" spans="13:13" ht="13" x14ac:dyDescent="0.15">
      <c r="M445" s="2"/>
    </row>
    <row r="446" spans="13:13" ht="13" x14ac:dyDescent="0.15">
      <c r="M446" s="2"/>
    </row>
    <row r="447" spans="13:13" ht="13" x14ac:dyDescent="0.15">
      <c r="M447" s="2"/>
    </row>
    <row r="448" spans="13:13" ht="13" x14ac:dyDescent="0.15">
      <c r="M448" s="2"/>
    </row>
    <row r="449" spans="13:13" ht="13" x14ac:dyDescent="0.15">
      <c r="M449" s="2"/>
    </row>
    <row r="450" spans="13:13" ht="13" x14ac:dyDescent="0.15">
      <c r="M450" s="2"/>
    </row>
    <row r="451" spans="13:13" ht="13" x14ac:dyDescent="0.15">
      <c r="M451" s="2"/>
    </row>
    <row r="452" spans="13:13" ht="13" x14ac:dyDescent="0.15">
      <c r="M452" s="2"/>
    </row>
    <row r="453" spans="13:13" ht="13" x14ac:dyDescent="0.15">
      <c r="M453" s="2"/>
    </row>
    <row r="454" spans="13:13" ht="13" x14ac:dyDescent="0.15">
      <c r="M454" s="2"/>
    </row>
    <row r="455" spans="13:13" ht="13" x14ac:dyDescent="0.15">
      <c r="M455" s="2"/>
    </row>
    <row r="456" spans="13:13" ht="13" x14ac:dyDescent="0.15">
      <c r="M456" s="2"/>
    </row>
    <row r="457" spans="13:13" ht="13" x14ac:dyDescent="0.15">
      <c r="M457" s="2"/>
    </row>
    <row r="458" spans="13:13" ht="13" x14ac:dyDescent="0.15">
      <c r="M458" s="2"/>
    </row>
    <row r="459" spans="13:13" ht="13" x14ac:dyDescent="0.15">
      <c r="M459" s="2"/>
    </row>
    <row r="460" spans="13:13" ht="13" x14ac:dyDescent="0.15">
      <c r="M460" s="2"/>
    </row>
    <row r="461" spans="13:13" ht="13" x14ac:dyDescent="0.15">
      <c r="M461" s="2"/>
    </row>
    <row r="462" spans="13:13" ht="13" x14ac:dyDescent="0.15">
      <c r="M462" s="2"/>
    </row>
    <row r="463" spans="13:13" ht="13" x14ac:dyDescent="0.15">
      <c r="M463" s="2"/>
    </row>
    <row r="464" spans="13:13" ht="13" x14ac:dyDescent="0.15">
      <c r="M464" s="2"/>
    </row>
    <row r="465" spans="13:13" ht="13" x14ac:dyDescent="0.15">
      <c r="M465" s="2"/>
    </row>
    <row r="466" spans="13:13" ht="13" x14ac:dyDescent="0.15">
      <c r="M466" s="2"/>
    </row>
    <row r="467" spans="13:13" ht="13" x14ac:dyDescent="0.15">
      <c r="M467" s="2"/>
    </row>
    <row r="468" spans="13:13" ht="13" x14ac:dyDescent="0.15">
      <c r="M468" s="2"/>
    </row>
    <row r="469" spans="13:13" ht="13" x14ac:dyDescent="0.15">
      <c r="M469" s="2"/>
    </row>
    <row r="470" spans="13:13" ht="13" x14ac:dyDescent="0.15">
      <c r="M470" s="2"/>
    </row>
    <row r="471" spans="13:13" ht="13" x14ac:dyDescent="0.15">
      <c r="M471" s="2"/>
    </row>
    <row r="472" spans="13:13" ht="13" x14ac:dyDescent="0.15">
      <c r="M472" s="2"/>
    </row>
    <row r="473" spans="13:13" ht="13" x14ac:dyDescent="0.15">
      <c r="M473" s="2"/>
    </row>
    <row r="474" spans="13:13" ht="13" x14ac:dyDescent="0.15">
      <c r="M474" s="2"/>
    </row>
    <row r="475" spans="13:13" ht="13" x14ac:dyDescent="0.15">
      <c r="M475" s="2"/>
    </row>
    <row r="476" spans="13:13" ht="13" x14ac:dyDescent="0.15">
      <c r="M476" s="2"/>
    </row>
    <row r="477" spans="13:13" ht="13" x14ac:dyDescent="0.15">
      <c r="M477" s="2"/>
    </row>
    <row r="478" spans="13:13" ht="13" x14ac:dyDescent="0.15">
      <c r="M478" s="2"/>
    </row>
    <row r="479" spans="13:13" ht="13" x14ac:dyDescent="0.15">
      <c r="M479" s="2"/>
    </row>
    <row r="480" spans="13:13" ht="13" x14ac:dyDescent="0.15">
      <c r="M480" s="2"/>
    </row>
    <row r="481" spans="13:13" ht="13" x14ac:dyDescent="0.15">
      <c r="M481" s="2"/>
    </row>
    <row r="482" spans="13:13" ht="13" x14ac:dyDescent="0.15">
      <c r="M482" s="2"/>
    </row>
    <row r="483" spans="13:13" ht="13" x14ac:dyDescent="0.15">
      <c r="M483" s="2"/>
    </row>
    <row r="484" spans="13:13" ht="13" x14ac:dyDescent="0.15">
      <c r="M484" s="2"/>
    </row>
    <row r="485" spans="13:13" ht="13" x14ac:dyDescent="0.15">
      <c r="M485" s="2"/>
    </row>
    <row r="486" spans="13:13" ht="13" x14ac:dyDescent="0.15">
      <c r="M486" s="2"/>
    </row>
    <row r="487" spans="13:13" ht="13" x14ac:dyDescent="0.15">
      <c r="M487" s="2"/>
    </row>
    <row r="488" spans="13:13" ht="13" x14ac:dyDescent="0.15">
      <c r="M488" s="2"/>
    </row>
    <row r="489" spans="13:13" ht="13" x14ac:dyDescent="0.15">
      <c r="M489" s="2"/>
    </row>
    <row r="490" spans="13:13" ht="13" x14ac:dyDescent="0.15">
      <c r="M490" s="2"/>
    </row>
    <row r="491" spans="13:13" ht="13" x14ac:dyDescent="0.15">
      <c r="M491" s="2"/>
    </row>
    <row r="492" spans="13:13" ht="13" x14ac:dyDescent="0.15">
      <c r="M492" s="2"/>
    </row>
    <row r="493" spans="13:13" ht="13" x14ac:dyDescent="0.15">
      <c r="M493" s="2"/>
    </row>
    <row r="494" spans="13:13" ht="13" x14ac:dyDescent="0.15">
      <c r="M494" s="2"/>
    </row>
    <row r="495" spans="13:13" ht="13" x14ac:dyDescent="0.15">
      <c r="M495" s="2"/>
    </row>
    <row r="496" spans="13:13" ht="13" x14ac:dyDescent="0.15">
      <c r="M496" s="2"/>
    </row>
    <row r="497" spans="13:13" ht="13" x14ac:dyDescent="0.15">
      <c r="M497" s="2"/>
    </row>
    <row r="498" spans="13:13" ht="13" x14ac:dyDescent="0.15">
      <c r="M498" s="2"/>
    </row>
    <row r="499" spans="13:13" ht="13" x14ac:dyDescent="0.15">
      <c r="M499" s="2"/>
    </row>
    <row r="500" spans="13:13" ht="13" x14ac:dyDescent="0.15">
      <c r="M500" s="2"/>
    </row>
    <row r="501" spans="13:13" ht="13" x14ac:dyDescent="0.15">
      <c r="M501" s="2"/>
    </row>
    <row r="502" spans="13:13" ht="13" x14ac:dyDescent="0.15">
      <c r="M502" s="2"/>
    </row>
    <row r="503" spans="13:13" ht="13" x14ac:dyDescent="0.15">
      <c r="M503" s="2"/>
    </row>
    <row r="504" spans="13:13" ht="13" x14ac:dyDescent="0.15">
      <c r="M504" s="2"/>
    </row>
    <row r="505" spans="13:13" ht="13" x14ac:dyDescent="0.15">
      <c r="M505" s="2"/>
    </row>
    <row r="506" spans="13:13" ht="13" x14ac:dyDescent="0.15">
      <c r="M506" s="2"/>
    </row>
    <row r="507" spans="13:13" ht="13" x14ac:dyDescent="0.15">
      <c r="M507" s="2"/>
    </row>
    <row r="508" spans="13:13" ht="13" x14ac:dyDescent="0.15">
      <c r="M508" s="2"/>
    </row>
    <row r="509" spans="13:13" ht="13" x14ac:dyDescent="0.15">
      <c r="M509" s="2"/>
    </row>
    <row r="510" spans="13:13" ht="13" x14ac:dyDescent="0.15">
      <c r="M510" s="2"/>
    </row>
    <row r="511" spans="13:13" ht="13" x14ac:dyDescent="0.15">
      <c r="M511" s="2"/>
    </row>
    <row r="512" spans="13:13" ht="13" x14ac:dyDescent="0.15">
      <c r="M512" s="2"/>
    </row>
    <row r="513" spans="13:13" ht="13" x14ac:dyDescent="0.15">
      <c r="M513" s="2"/>
    </row>
    <row r="514" spans="13:13" ht="13" x14ac:dyDescent="0.15">
      <c r="M514" s="2"/>
    </row>
    <row r="515" spans="13:13" ht="13" x14ac:dyDescent="0.15">
      <c r="M515" s="2"/>
    </row>
    <row r="516" spans="13:13" ht="13" x14ac:dyDescent="0.15">
      <c r="M516" s="2"/>
    </row>
    <row r="517" spans="13:13" ht="13" x14ac:dyDescent="0.15">
      <c r="M517" s="2"/>
    </row>
    <row r="518" spans="13:13" ht="13" x14ac:dyDescent="0.15">
      <c r="M518" s="2"/>
    </row>
    <row r="519" spans="13:13" ht="13" x14ac:dyDescent="0.15">
      <c r="M519" s="2"/>
    </row>
    <row r="520" spans="13:13" ht="13" x14ac:dyDescent="0.15">
      <c r="M520" s="2"/>
    </row>
    <row r="521" spans="13:13" ht="13" x14ac:dyDescent="0.15">
      <c r="M521" s="2"/>
    </row>
    <row r="522" spans="13:13" ht="13" x14ac:dyDescent="0.15">
      <c r="M522" s="2"/>
    </row>
    <row r="523" spans="13:13" ht="13" x14ac:dyDescent="0.15">
      <c r="M523" s="2"/>
    </row>
    <row r="524" spans="13:13" ht="13" x14ac:dyDescent="0.15">
      <c r="M524" s="2"/>
    </row>
    <row r="525" spans="13:13" ht="13" x14ac:dyDescent="0.15">
      <c r="M525" s="2"/>
    </row>
    <row r="526" spans="13:13" ht="13" x14ac:dyDescent="0.15">
      <c r="M526" s="2"/>
    </row>
    <row r="527" spans="13:13" ht="13" x14ac:dyDescent="0.15">
      <c r="M527" s="2"/>
    </row>
    <row r="528" spans="13:13" ht="13" x14ac:dyDescent="0.15">
      <c r="M528" s="2"/>
    </row>
    <row r="529" spans="13:13" ht="13" x14ac:dyDescent="0.15">
      <c r="M529" s="2"/>
    </row>
    <row r="530" spans="13:13" ht="13" x14ac:dyDescent="0.15">
      <c r="M530" s="2"/>
    </row>
    <row r="531" spans="13:13" ht="13" x14ac:dyDescent="0.15">
      <c r="M531" s="2"/>
    </row>
    <row r="532" spans="13:13" ht="13" x14ac:dyDescent="0.15">
      <c r="M532" s="2"/>
    </row>
    <row r="533" spans="13:13" ht="13" x14ac:dyDescent="0.15">
      <c r="M533" s="2"/>
    </row>
    <row r="534" spans="13:13" ht="13" x14ac:dyDescent="0.15">
      <c r="M534" s="2"/>
    </row>
    <row r="535" spans="13:13" ht="13" x14ac:dyDescent="0.15">
      <c r="M535" s="2"/>
    </row>
    <row r="536" spans="13:13" ht="13" x14ac:dyDescent="0.15">
      <c r="M536" s="2"/>
    </row>
    <row r="537" spans="13:13" ht="13" x14ac:dyDescent="0.15">
      <c r="M537" s="2"/>
    </row>
    <row r="538" spans="13:13" ht="13" x14ac:dyDescent="0.15">
      <c r="M538" s="2"/>
    </row>
    <row r="539" spans="13:13" ht="13" x14ac:dyDescent="0.15">
      <c r="M539" s="2"/>
    </row>
    <row r="540" spans="13:13" ht="13" x14ac:dyDescent="0.15">
      <c r="M540" s="2"/>
    </row>
    <row r="541" spans="13:13" ht="13" x14ac:dyDescent="0.15">
      <c r="M541" s="2"/>
    </row>
    <row r="542" spans="13:13" ht="13" x14ac:dyDescent="0.15">
      <c r="M542" s="2"/>
    </row>
    <row r="543" spans="13:13" ht="13" x14ac:dyDescent="0.15">
      <c r="M543" s="2"/>
    </row>
    <row r="544" spans="13:13" ht="13" x14ac:dyDescent="0.15">
      <c r="M544" s="2"/>
    </row>
    <row r="545" spans="13:13" ht="13" x14ac:dyDescent="0.15">
      <c r="M545" s="2"/>
    </row>
    <row r="546" spans="13:13" ht="13" x14ac:dyDescent="0.15">
      <c r="M546" s="2"/>
    </row>
    <row r="547" spans="13:13" ht="13" x14ac:dyDescent="0.15">
      <c r="M547" s="2"/>
    </row>
    <row r="548" spans="13:13" ht="13" x14ac:dyDescent="0.15">
      <c r="M548" s="2"/>
    </row>
    <row r="549" spans="13:13" ht="13" x14ac:dyDescent="0.15">
      <c r="M549" s="2"/>
    </row>
    <row r="550" spans="13:13" ht="13" x14ac:dyDescent="0.15">
      <c r="M550" s="2"/>
    </row>
    <row r="551" spans="13:13" ht="13" x14ac:dyDescent="0.15">
      <c r="M551" s="2"/>
    </row>
    <row r="552" spans="13:13" ht="13" x14ac:dyDescent="0.15">
      <c r="M552" s="2"/>
    </row>
    <row r="553" spans="13:13" ht="13" x14ac:dyDescent="0.15">
      <c r="M553" s="2"/>
    </row>
    <row r="554" spans="13:13" ht="13" x14ac:dyDescent="0.15">
      <c r="M554" s="2"/>
    </row>
    <row r="555" spans="13:13" ht="13" x14ac:dyDescent="0.15">
      <c r="M555" s="2"/>
    </row>
    <row r="556" spans="13:13" ht="13" x14ac:dyDescent="0.15">
      <c r="M556" s="2"/>
    </row>
    <row r="557" spans="13:13" ht="13" x14ac:dyDescent="0.15">
      <c r="M557" s="2"/>
    </row>
    <row r="558" spans="13:13" ht="13" x14ac:dyDescent="0.15">
      <c r="M558" s="2"/>
    </row>
    <row r="559" spans="13:13" ht="13" x14ac:dyDescent="0.15">
      <c r="M559" s="2"/>
    </row>
    <row r="560" spans="13:13" ht="13" x14ac:dyDescent="0.15">
      <c r="M560" s="2"/>
    </row>
    <row r="561" spans="13:13" ht="13" x14ac:dyDescent="0.15">
      <c r="M561" s="2"/>
    </row>
    <row r="562" spans="13:13" ht="13" x14ac:dyDescent="0.15">
      <c r="M562" s="2"/>
    </row>
    <row r="563" spans="13:13" ht="13" x14ac:dyDescent="0.15">
      <c r="M563" s="2"/>
    </row>
    <row r="564" spans="13:13" ht="13" x14ac:dyDescent="0.15">
      <c r="M564" s="2"/>
    </row>
    <row r="565" spans="13:13" ht="13" x14ac:dyDescent="0.15">
      <c r="M565" s="2"/>
    </row>
    <row r="566" spans="13:13" ht="13" x14ac:dyDescent="0.15">
      <c r="M566" s="2"/>
    </row>
    <row r="567" spans="13:13" ht="13" x14ac:dyDescent="0.15">
      <c r="M567" s="2"/>
    </row>
    <row r="568" spans="13:13" ht="13" x14ac:dyDescent="0.15">
      <c r="M568" s="2"/>
    </row>
    <row r="569" spans="13:13" ht="13" x14ac:dyDescent="0.15">
      <c r="M569" s="2"/>
    </row>
    <row r="570" spans="13:13" ht="13" x14ac:dyDescent="0.15">
      <c r="M570" s="2"/>
    </row>
    <row r="571" spans="13:13" ht="13" x14ac:dyDescent="0.15">
      <c r="M571" s="2"/>
    </row>
    <row r="572" spans="13:13" ht="13" x14ac:dyDescent="0.15">
      <c r="M572" s="2"/>
    </row>
    <row r="573" spans="13:13" ht="13" x14ac:dyDescent="0.15">
      <c r="M573" s="2"/>
    </row>
    <row r="574" spans="13:13" ht="13" x14ac:dyDescent="0.15">
      <c r="M574" s="2"/>
    </row>
    <row r="575" spans="13:13" ht="13" x14ac:dyDescent="0.15">
      <c r="M575" s="2"/>
    </row>
    <row r="576" spans="13:13" ht="13" x14ac:dyDescent="0.15">
      <c r="M576" s="2"/>
    </row>
    <row r="577" spans="13:13" ht="13" x14ac:dyDescent="0.15">
      <c r="M577" s="2"/>
    </row>
    <row r="578" spans="13:13" ht="13" x14ac:dyDescent="0.15">
      <c r="M578" s="2"/>
    </row>
    <row r="579" spans="13:13" ht="13" x14ac:dyDescent="0.15">
      <c r="M579" s="2"/>
    </row>
    <row r="580" spans="13:13" ht="13" x14ac:dyDescent="0.15">
      <c r="M580" s="2"/>
    </row>
    <row r="581" spans="13:13" ht="13" x14ac:dyDescent="0.15">
      <c r="M581" s="2"/>
    </row>
    <row r="582" spans="13:13" ht="13" x14ac:dyDescent="0.15">
      <c r="M582" s="2"/>
    </row>
    <row r="583" spans="13:13" ht="13" x14ac:dyDescent="0.15">
      <c r="M583" s="2"/>
    </row>
    <row r="584" spans="13:13" ht="13" x14ac:dyDescent="0.15">
      <c r="M584" s="2"/>
    </row>
    <row r="585" spans="13:13" ht="13" x14ac:dyDescent="0.15">
      <c r="M585" s="2"/>
    </row>
    <row r="586" spans="13:13" ht="13" x14ac:dyDescent="0.15">
      <c r="M586" s="2"/>
    </row>
    <row r="587" spans="13:13" ht="13" x14ac:dyDescent="0.15">
      <c r="M587" s="2"/>
    </row>
    <row r="588" spans="13:13" ht="13" x14ac:dyDescent="0.15">
      <c r="M588" s="2"/>
    </row>
    <row r="589" spans="13:13" ht="13" x14ac:dyDescent="0.15">
      <c r="M589" s="2"/>
    </row>
    <row r="590" spans="13:13" ht="13" x14ac:dyDescent="0.15">
      <c r="M590" s="2"/>
    </row>
    <row r="591" spans="13:13" ht="13" x14ac:dyDescent="0.15">
      <c r="M591" s="2"/>
    </row>
    <row r="592" spans="13:13" ht="13" x14ac:dyDescent="0.15">
      <c r="M592" s="2"/>
    </row>
    <row r="593" spans="13:13" ht="13" x14ac:dyDescent="0.15">
      <c r="M593" s="2"/>
    </row>
    <row r="594" spans="13:13" ht="13" x14ac:dyDescent="0.15">
      <c r="M594" s="2"/>
    </row>
    <row r="595" spans="13:13" ht="13" x14ac:dyDescent="0.15">
      <c r="M595" s="2"/>
    </row>
    <row r="596" spans="13:13" ht="13" x14ac:dyDescent="0.15">
      <c r="M596" s="2"/>
    </row>
    <row r="597" spans="13:13" ht="13" x14ac:dyDescent="0.15">
      <c r="M597" s="2"/>
    </row>
    <row r="598" spans="13:13" ht="13" x14ac:dyDescent="0.15">
      <c r="M598" s="2"/>
    </row>
    <row r="599" spans="13:13" ht="13" x14ac:dyDescent="0.15">
      <c r="M599" s="2"/>
    </row>
    <row r="600" spans="13:13" ht="13" x14ac:dyDescent="0.15">
      <c r="M600" s="2"/>
    </row>
    <row r="601" spans="13:13" ht="13" x14ac:dyDescent="0.15">
      <c r="M601" s="2"/>
    </row>
    <row r="602" spans="13:13" ht="13" x14ac:dyDescent="0.15">
      <c r="M602" s="2"/>
    </row>
    <row r="603" spans="13:13" ht="13" x14ac:dyDescent="0.15">
      <c r="M603" s="2"/>
    </row>
    <row r="604" spans="13:13" ht="13" x14ac:dyDescent="0.15">
      <c r="M604" s="2"/>
    </row>
    <row r="605" spans="13:13" ht="13" x14ac:dyDescent="0.15">
      <c r="M605" s="2"/>
    </row>
    <row r="606" spans="13:13" ht="13" x14ac:dyDescent="0.15">
      <c r="M606" s="2"/>
    </row>
    <row r="607" spans="13:13" ht="13" x14ac:dyDescent="0.15">
      <c r="M607" s="2"/>
    </row>
    <row r="608" spans="13:13" ht="13" x14ac:dyDescent="0.15">
      <c r="M608" s="2"/>
    </row>
    <row r="609" spans="13:13" ht="13" x14ac:dyDescent="0.15">
      <c r="M609" s="2"/>
    </row>
    <row r="610" spans="13:13" ht="13" x14ac:dyDescent="0.15">
      <c r="M610" s="2"/>
    </row>
    <row r="611" spans="13:13" ht="13" x14ac:dyDescent="0.15">
      <c r="M611" s="2"/>
    </row>
    <row r="612" spans="13:13" ht="13" x14ac:dyDescent="0.15">
      <c r="M612" s="2"/>
    </row>
    <row r="613" spans="13:13" ht="13" x14ac:dyDescent="0.15">
      <c r="M613" s="2"/>
    </row>
    <row r="614" spans="13:13" ht="13" x14ac:dyDescent="0.15">
      <c r="M614" s="2"/>
    </row>
    <row r="615" spans="13:13" ht="13" x14ac:dyDescent="0.15">
      <c r="M615" s="2"/>
    </row>
    <row r="616" spans="13:13" ht="13" x14ac:dyDescent="0.15">
      <c r="M616" s="2"/>
    </row>
    <row r="617" spans="13:13" ht="13" x14ac:dyDescent="0.15">
      <c r="M617" s="2"/>
    </row>
    <row r="618" spans="13:13" ht="13" x14ac:dyDescent="0.15">
      <c r="M618" s="2"/>
    </row>
    <row r="619" spans="13:13" ht="13" x14ac:dyDescent="0.15">
      <c r="M619" s="2"/>
    </row>
    <row r="620" spans="13:13" ht="13" x14ac:dyDescent="0.15">
      <c r="M620" s="2"/>
    </row>
    <row r="621" spans="13:13" ht="13" x14ac:dyDescent="0.15">
      <c r="M621" s="2"/>
    </row>
    <row r="622" spans="13:13" ht="13" x14ac:dyDescent="0.15">
      <c r="M622" s="2"/>
    </row>
    <row r="623" spans="13:13" ht="13" x14ac:dyDescent="0.15">
      <c r="M623" s="2"/>
    </row>
    <row r="624" spans="13:13" ht="13" x14ac:dyDescent="0.15">
      <c r="M624" s="2"/>
    </row>
    <row r="625" spans="13:13" ht="13" x14ac:dyDescent="0.15">
      <c r="M625" s="2"/>
    </row>
    <row r="626" spans="13:13" ht="13" x14ac:dyDescent="0.15">
      <c r="M626" s="2"/>
    </row>
    <row r="627" spans="13:13" ht="13" x14ac:dyDescent="0.15">
      <c r="M627" s="2"/>
    </row>
    <row r="628" spans="13:13" ht="13" x14ac:dyDescent="0.15">
      <c r="M628" s="2"/>
    </row>
    <row r="629" spans="13:13" ht="13" x14ac:dyDescent="0.15">
      <c r="M629" s="2"/>
    </row>
    <row r="630" spans="13:13" ht="13" x14ac:dyDescent="0.15">
      <c r="M630" s="2"/>
    </row>
    <row r="631" spans="13:13" ht="13" x14ac:dyDescent="0.15">
      <c r="M631" s="2"/>
    </row>
    <row r="632" spans="13:13" ht="13" x14ac:dyDescent="0.15">
      <c r="M632" s="2"/>
    </row>
    <row r="633" spans="13:13" ht="13" x14ac:dyDescent="0.15">
      <c r="M633" s="2"/>
    </row>
    <row r="634" spans="13:13" ht="13" x14ac:dyDescent="0.15">
      <c r="M634" s="2"/>
    </row>
    <row r="635" spans="13:13" ht="13" x14ac:dyDescent="0.15">
      <c r="M635" s="2"/>
    </row>
    <row r="636" spans="13:13" ht="13" x14ac:dyDescent="0.15">
      <c r="M636" s="2"/>
    </row>
    <row r="637" spans="13:13" ht="13" x14ac:dyDescent="0.15">
      <c r="M637" s="2"/>
    </row>
    <row r="638" spans="13:13" ht="13" x14ac:dyDescent="0.15">
      <c r="M638" s="2"/>
    </row>
    <row r="639" spans="13:13" ht="13" x14ac:dyDescent="0.15">
      <c r="M639" s="2"/>
    </row>
    <row r="640" spans="13:13" ht="13" x14ac:dyDescent="0.15">
      <c r="M640" s="2"/>
    </row>
    <row r="641" spans="13:13" ht="13" x14ac:dyDescent="0.15">
      <c r="M641" s="2"/>
    </row>
    <row r="642" spans="13:13" ht="13" x14ac:dyDescent="0.15">
      <c r="M642" s="2"/>
    </row>
    <row r="643" spans="13:13" ht="13" x14ac:dyDescent="0.15">
      <c r="M643" s="2"/>
    </row>
    <row r="644" spans="13:13" ht="13" x14ac:dyDescent="0.15">
      <c r="M644" s="2"/>
    </row>
    <row r="645" spans="13:13" ht="13" x14ac:dyDescent="0.15">
      <c r="M645" s="2"/>
    </row>
    <row r="646" spans="13:13" ht="13" x14ac:dyDescent="0.15">
      <c r="M646" s="2"/>
    </row>
    <row r="647" spans="13:13" ht="13" x14ac:dyDescent="0.15">
      <c r="M647" s="2"/>
    </row>
    <row r="648" spans="13:13" ht="13" x14ac:dyDescent="0.15">
      <c r="M648" s="2"/>
    </row>
    <row r="649" spans="13:13" ht="13" x14ac:dyDescent="0.15">
      <c r="M649" s="2"/>
    </row>
    <row r="650" spans="13:13" ht="13" x14ac:dyDescent="0.15">
      <c r="M650" s="2"/>
    </row>
    <row r="651" spans="13:13" ht="13" x14ac:dyDescent="0.15">
      <c r="M651" s="2"/>
    </row>
    <row r="652" spans="13:13" ht="13" x14ac:dyDescent="0.15">
      <c r="M652" s="2"/>
    </row>
    <row r="653" spans="13:13" ht="13" x14ac:dyDescent="0.15">
      <c r="M653" s="2"/>
    </row>
    <row r="654" spans="13:13" ht="13" x14ac:dyDescent="0.15">
      <c r="M654" s="2"/>
    </row>
    <row r="655" spans="13:13" ht="13" x14ac:dyDescent="0.15">
      <c r="M655" s="2"/>
    </row>
    <row r="656" spans="13:13" ht="13" x14ac:dyDescent="0.15">
      <c r="M656" s="2"/>
    </row>
    <row r="657" spans="13:13" ht="13" x14ac:dyDescent="0.15">
      <c r="M657" s="2"/>
    </row>
    <row r="658" spans="13:13" ht="13" x14ac:dyDescent="0.15">
      <c r="M658" s="2"/>
    </row>
    <row r="659" spans="13:13" ht="13" x14ac:dyDescent="0.15">
      <c r="M659" s="2"/>
    </row>
    <row r="660" spans="13:13" ht="13" x14ac:dyDescent="0.15">
      <c r="M660" s="2"/>
    </row>
    <row r="661" spans="13:13" ht="13" x14ac:dyDescent="0.15">
      <c r="M661" s="2"/>
    </row>
    <row r="662" spans="13:13" ht="13" x14ac:dyDescent="0.15">
      <c r="M662" s="2"/>
    </row>
    <row r="663" spans="13:13" ht="13" x14ac:dyDescent="0.15">
      <c r="M663" s="2"/>
    </row>
    <row r="664" spans="13:13" ht="13" x14ac:dyDescent="0.15">
      <c r="M664" s="2"/>
    </row>
    <row r="665" spans="13:13" ht="13" x14ac:dyDescent="0.15">
      <c r="M665" s="2"/>
    </row>
    <row r="666" spans="13:13" ht="13" x14ac:dyDescent="0.15">
      <c r="M666" s="2"/>
    </row>
    <row r="667" spans="13:13" ht="13" x14ac:dyDescent="0.15">
      <c r="M667" s="2"/>
    </row>
    <row r="668" spans="13:13" ht="13" x14ac:dyDescent="0.15">
      <c r="M668" s="2"/>
    </row>
    <row r="669" spans="13:13" ht="13" x14ac:dyDescent="0.15">
      <c r="M669" s="2"/>
    </row>
    <row r="670" spans="13:13" ht="13" x14ac:dyDescent="0.15">
      <c r="M670" s="2"/>
    </row>
  </sheetData>
  <autoFilter ref="B1:M251" xr:uid="{00000000-0009-0000-0000-000000000000}">
    <sortState xmlns:xlrd2="http://schemas.microsoft.com/office/spreadsheetml/2017/richdata2" ref="B2:M251">
      <sortCondition ref="C1:C251"/>
    </sortState>
  </autoFilter>
  <conditionalFormatting sqref="B2:M251">
    <cfRule type="expression" dxfId="2" priority="1">
      <formula>$F2 = TRUE</formula>
    </cfRule>
    <cfRule type="expression" dxfId="1" priority="2">
      <formula>$E2 = TRUE</formula>
    </cfRule>
  </conditionalFormatting>
  <conditionalFormatting sqref="K2:K25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:L25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:M25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51">
    <cfRule type="notContainsBlanks" dxfId="0" priority="6">
      <formula>LEN(TRIM(M251))&gt;0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FB8B-5DCA-7949-88AF-1A518D45EFB9}">
  <dimension ref="B2:L18"/>
  <sheetViews>
    <sheetView defaultGridColor="0" topLeftCell="E1" colorId="9" zoomScale="252" zoomScaleNormal="216" workbookViewId="0">
      <selection activeCell="G4" sqref="G4"/>
    </sheetView>
  </sheetViews>
  <sheetFormatPr baseColWidth="10" defaultRowHeight="13" x14ac:dyDescent="0.15"/>
  <cols>
    <col min="3" max="3" width="18.1640625" bestFit="1" customWidth="1"/>
    <col min="4" max="4" width="6.33203125" bestFit="1" customWidth="1"/>
    <col min="7" max="7" width="15.6640625" bestFit="1" customWidth="1"/>
    <col min="8" max="8" width="6.33203125" bestFit="1" customWidth="1"/>
    <col min="11" max="11" width="15.33203125" bestFit="1" customWidth="1"/>
    <col min="12" max="12" width="6.33203125" bestFit="1" customWidth="1"/>
  </cols>
  <sheetData>
    <row r="2" spans="2:12" x14ac:dyDescent="0.15">
      <c r="B2" s="12"/>
      <c r="C2" s="13" t="s">
        <v>1283</v>
      </c>
      <c r="D2" s="13" t="s">
        <v>0</v>
      </c>
      <c r="F2" s="12"/>
      <c r="G2" s="13" t="s">
        <v>1282</v>
      </c>
      <c r="H2" s="13" t="s">
        <v>0</v>
      </c>
      <c r="J2" s="12"/>
      <c r="K2" s="13" t="s">
        <v>1284</v>
      </c>
      <c r="L2" s="13" t="s">
        <v>0</v>
      </c>
    </row>
    <row r="3" spans="2:12" x14ac:dyDescent="0.15">
      <c r="B3" s="10" t="s">
        <v>1237</v>
      </c>
      <c r="C3" s="14" t="str" cm="1">
        <f t="array" ref="C3" xml:space="preserve"> IFERROR( INDEX( 'FF 2025'!$D$2:$D$251, MATCH( 1, ( 'FF 2025'!$F$2:$F$251 = TRUE ) * ( 'FF 2025'!$J$2:$J$251 = "QB" ), 0 ) ), "----" )</f>
        <v>----</v>
      </c>
      <c r="D3" s="14" t="str">
        <f xml:space="preserve"> IFERROR( _xlfn.XLOOKUP( C3, 'FF 2025'!$D$2:$D$251, 'FF 2025'!$B$2:$B$251 ), "----" )</f>
        <v>----</v>
      </c>
      <c r="F3" s="10" t="s">
        <v>1237</v>
      </c>
      <c r="G3" s="14" t="str" cm="1">
        <f t="array" ref="G3" xml:space="preserve"> IFERROR( INDEX( 'FF 2025'!$D$2:$D$251, MATCH( 1, ( 'FF 2025'!$F$2:$F$251 = TRUE ) * ( 'FF 2025'!$J$2:$J$251 = "QB" ), 0 ) ), "----" )</f>
        <v>----</v>
      </c>
      <c r="H3" s="14" t="str">
        <f xml:space="preserve"> IFERROR( _xlfn.XLOOKUP( G3, 'FF 2025'!$D$2:$D$251, 'FF 2025'!$B$2:$B$251 ), "----" )</f>
        <v>----</v>
      </c>
      <c r="J3" s="10" t="s">
        <v>1237</v>
      </c>
      <c r="K3" s="14" t="str" cm="1">
        <f t="array" ref="K3" xml:space="preserve"> IFERROR( INDEX( 'FF 2025'!D2:D$251, MATCH( 1, ( 'FF 2025'!$F$2:$F$251 = TRUE ) * ( 'FF 2025'!$J$2:$J$251 = "QB" ), 0 ) ), "----" )</f>
        <v>----</v>
      </c>
      <c r="L3" s="14" t="str">
        <f xml:space="preserve"> IFERROR( _xlfn.XLOOKUP( K3, 'FF 2025'!$D$2:$D$251, 'FF 2025'!$B$2:$B$251 ), "----" )</f>
        <v>----</v>
      </c>
    </row>
    <row r="4" spans="2:12" x14ac:dyDescent="0.15">
      <c r="B4" s="10" t="s">
        <v>1238</v>
      </c>
      <c r="C4" s="14" t="str" cm="1">
        <f t="array" ref="C4" xml:space="preserve"> IFERROR( INDEX( 'FF 2025'!$D$2:$D$251, SMALL( IF( ( 'FF 2025'!$F$2:$F$251 = TRUE ) * ( 'FF 2025'!$J$2:$J$251 = "RB" ), ROW( 'FF 2025'!$D$2:$D$251 ) - ROW( 'FF 2025'!$D$2 ) + 1 ), 1 ) ), "----" )</f>
        <v>----</v>
      </c>
      <c r="D4" s="14" t="str">
        <f xml:space="preserve"> IFERROR( _xlfn.XLOOKUP( C4, 'FF 2025'!$D$2:$D$251, 'FF 2025'!$B$2:$B$251 ), "----" )</f>
        <v>----</v>
      </c>
      <c r="F4" s="10" t="s">
        <v>1238</v>
      </c>
      <c r="G4" s="14" t="str" cm="1">
        <f t="array" ref="G4" xml:space="preserve"> IFERROR( INDEX( 'FF 2025'!D2:$D$251, SMALL( IF( ( 'FF 2025'!$F$2:$F$251 = TRUE ) * ( 'FF 2025'!$J$2:$J$251 = "RB" ), ROW( 'FF 2025'!D2:$D$251 ) - ROW( 'FF 2025'!$D$2 ) + 1 ), 1 ) ), "----" )</f>
        <v>----</v>
      </c>
      <c r="H4" s="14" t="str">
        <f xml:space="preserve"> IFERROR( _xlfn.XLOOKUP( G4, 'FF 2025'!$D$2:$D$251, 'FF 2025'!$B$2:$B$251 ), "----" )</f>
        <v>----</v>
      </c>
      <c r="J4" s="10" t="s">
        <v>1238</v>
      </c>
      <c r="K4" s="14" t="str" cm="1">
        <f t="array" ref="K4" xml:space="preserve"> IFERROR( INDEX( 'FF 2025'!D2:D$251, SMALL( IF( ( 'FF 2025'!$F$2:$F$251 = TRUE ) * ( 'FF 2025'!$J$2:$J$251 = "RB" ), ROW( 'FF 2025'!$D2:L$251 ) - ROW( 'FF 2025'!$D$2 ) + 1 ), 1 ) ), "----" )</f>
        <v>----</v>
      </c>
      <c r="L4" s="14" t="str">
        <f xml:space="preserve"> IFERROR( _xlfn.XLOOKUP( K4, 'FF 2025'!$D$2:$D$251, 'FF 2025'!$B$2:$B$251 ), "----" )</f>
        <v>----</v>
      </c>
    </row>
    <row r="5" spans="2:12" x14ac:dyDescent="0.15">
      <c r="B5" s="10" t="s">
        <v>1238</v>
      </c>
      <c r="C5" s="14" t="str" cm="1">
        <f t="array" ref="C5" xml:space="preserve"> IFERROR( INDEX( 'FF 2025'!$D$2:$D$251, SMALL( IF( ( 'FF 2025'!$F$2:$F$251 = TRUE ) * ( 'FF 2025'!$J$2:$J$251 = "RB" ), ROW( 'FF 2025'!$D$2:$D$251 ) - ROW( 'FF 2025'!$D$2 ) + 1 ), 2 ) ), "----" )</f>
        <v>----</v>
      </c>
      <c r="D5" s="14" t="str">
        <f xml:space="preserve"> IFERROR( _xlfn.XLOOKUP( C5, 'FF 2025'!$D$2:$D$251, 'FF 2025'!$B$2:$B$251 ), "----" )</f>
        <v>----</v>
      </c>
      <c r="F5" s="10" t="s">
        <v>1238</v>
      </c>
      <c r="G5" s="14" t="str" cm="1">
        <f t="array" ref="G5" xml:space="preserve"> IFERROR( INDEX( 'FF 2025'!D2:$D$251, SMALL( IF( ( 'FF 2025'!$F$2:$F$251 = TRUE ) * ( 'FF 2025'!$J$2:$J$251 = "RB" ), ROW( 'FF 2025'!D2:$D$251 ) - ROW( 'FF 2025'!$D$2 ) + 1 ), 2 ) ), "----" )</f>
        <v>----</v>
      </c>
      <c r="H5" s="14" t="str">
        <f xml:space="preserve"> IFERROR( _xlfn.XLOOKUP( G5, 'FF 2025'!$D$2:$D$251, 'FF 2025'!$B$2:$B$251 ), "----" )</f>
        <v>----</v>
      </c>
      <c r="J5" s="10" t="s">
        <v>1238</v>
      </c>
      <c r="K5" s="14" t="str" cm="1">
        <f t="array" ref="K5" xml:space="preserve"> IFERROR( INDEX( 'FF 2025'!D2:D$251, SMALL( IF( ( 'FF 2025'!$F$2:$F$251 = TRUE ) * ( 'FF 2025'!$J$2:$J$251 = "RB" ), ROW( 'FF 2025'!$D2:L$251 ) - ROW( 'FF 2025'!$D$2 ) + 1 ), 2 ) ), "----" )</f>
        <v>----</v>
      </c>
      <c r="L5" s="14" t="str">
        <f xml:space="preserve"> IFERROR( _xlfn.XLOOKUP( K5, 'FF 2025'!$D$2:$D$251, 'FF 2025'!$B$2:$B$251 ), "----" )</f>
        <v>----</v>
      </c>
    </row>
    <row r="6" spans="2:12" x14ac:dyDescent="0.15">
      <c r="B6" s="10" t="s">
        <v>1239</v>
      </c>
      <c r="C6" s="14" t="str" cm="1">
        <f t="array" ref="C6" xml:space="preserve"> IFERROR( INDEX( 'FF 2025'!$D$2:$D$251, SMALL( IF( ( 'FF 2025'!$F$2:$F$251 = TRUE ) * ( 'FF 2025'!$J$2:$J$251 = "WR" ), ROW( 'FF 2025'!$D$2:$D$251 ) - ROW( 'FF 2025'!$D$2 ) + 1 ), 1 ) ), "----" )</f>
        <v>----</v>
      </c>
      <c r="D6" s="14" t="str">
        <f xml:space="preserve"> IFERROR( _xlfn.XLOOKUP( C6, 'FF 2025'!$D$2:$D$251, 'FF 2025'!$B$2:$B$251 ), "----" )</f>
        <v>----</v>
      </c>
      <c r="F6" s="10" t="s">
        <v>1239</v>
      </c>
      <c r="G6" s="14" t="str" cm="1">
        <f t="array" ref="G6" xml:space="preserve"> IFERROR( INDEX( 'FF 2025'!D2:$D$251, SMALL( IF( ( 'FF 2025'!$F$2:$F$251 = TRUE ) * ( 'FF 2025'!$J$2:$J$251 = "WR" ), ROW( 'FF 2025'!D2:$D$251 ) - ROW( 'FF 2025'!$D$2 ) + 1 ), 1 ) ), "----" )</f>
        <v>----</v>
      </c>
      <c r="H6" s="14" t="str">
        <f xml:space="preserve"> IFERROR( _xlfn.XLOOKUP( G6, 'FF 2025'!$D$2:$D$251, 'FF 2025'!$B$2:$B$251 ), "----" )</f>
        <v>----</v>
      </c>
      <c r="J6" s="10" t="s">
        <v>1239</v>
      </c>
      <c r="K6" s="14" t="str" cm="1">
        <f t="array" ref="K6" xml:space="preserve"> IFERROR( INDEX( 'FF 2025'!D2:D$251, SMALL( IF( ( 'FF 2025'!$F$2:$F$251 = TRUE ) * ( 'FF 2025'!$J$2:$J$251 = "WR" ), ROW( 'FF 2025'!$D2:D$251 ) - ROW( 'FF 2025'!$D$2 ) + 1 ), 1 ) ), "----" )</f>
        <v>----</v>
      </c>
      <c r="L6" s="14" t="str">
        <f xml:space="preserve"> IFERROR( _xlfn.XLOOKUP( K6, 'FF 2025'!$D$2:$D$251, 'FF 2025'!$B$2:$B$251 ), "----" )</f>
        <v>----</v>
      </c>
    </row>
    <row r="7" spans="2:12" x14ac:dyDescent="0.15">
      <c r="B7" s="10" t="s">
        <v>1239</v>
      </c>
      <c r="C7" s="14" t="str" cm="1">
        <f t="array" ref="C7" xml:space="preserve"> IFERROR( INDEX( 'FF 2025'!$D$2:$D$251, SMALL( IF( ( 'FF 2025'!$F$2:$F$251 = TRUE ) * ( 'FF 2025'!$J$2:$J$251 = "WR" ), ROW( 'FF 2025'!$D$2:$D$251) - ROW( 'FF 2025'!$D$2 ) + 1 ), 2 ) ), "----" )</f>
        <v>----</v>
      </c>
      <c r="D7" s="14" t="str">
        <f xml:space="preserve"> IFERROR( _xlfn.XLOOKUP( C7, 'FF 2025'!$D$2:$D$251, 'FF 2025'!$B$2:$B$251 ), "----" )</f>
        <v>----</v>
      </c>
      <c r="F7" s="10" t="s">
        <v>1239</v>
      </c>
      <c r="G7" s="14" t="str" cm="1">
        <f t="array" ref="G7" xml:space="preserve"> IFERROR( INDEX( 'FF 2025'!D2:$D$251, SMALL( IF( ( 'FF 2025'!$F$2:$F$251 = TRUE ) * ( 'FF 2025'!$J$2:$J$251 = "WR" ), ROW( 'FF 2025'!D2:$D$251 ) - ROW( 'FF 2025'!$D$2 ) + 1 ), 2 ) ), "----" )</f>
        <v>----</v>
      </c>
      <c r="H7" s="14" t="str">
        <f xml:space="preserve"> IFERROR( _xlfn.XLOOKUP( G7, 'FF 2025'!$D$2:$D$251, 'FF 2025'!$B$2:$B$251 ), "----" )</f>
        <v>----</v>
      </c>
      <c r="J7" s="10" t="s">
        <v>1239</v>
      </c>
      <c r="K7" s="14" t="str" cm="1">
        <f t="array" ref="K7" xml:space="preserve"> IFERROR( INDEX( 'FF 2025'!D2:D$251, SMALL( IF( ( 'FF 2025'!$F$2:$F$251 = TRUE ) * ( 'FF 2025'!$J$2:$J$251 = "WR" ), ROW( 'FF 2025'!$D2:D$251 ) - ROW( 'FF 2025'!$D$2 ) + 1 ), 2 ) ), "----" )</f>
        <v>----</v>
      </c>
      <c r="L7" s="14" t="str">
        <f xml:space="preserve"> IFERROR( _xlfn.XLOOKUP( K7, 'FF 2025'!$D$2:$D$251, 'FF 2025'!$B$2:$B$251 ), "----" )</f>
        <v>----</v>
      </c>
    </row>
    <row r="8" spans="2:12" x14ac:dyDescent="0.15">
      <c r="B8" s="10" t="s">
        <v>1240</v>
      </c>
      <c r="C8" s="14" t="str" cm="1">
        <f t="array" ref="C8" xml:space="preserve"> IFERROR( INDEX( 'FF 2025'!$D$2:$D$251, MATCH( 1, ( 'FF 2025'!$F$2:$F$251 = TRUE ) * ( 'FF 2025'!$J$2:$J$251 = "TE" ), 0 ) ), "----" )</f>
        <v>----</v>
      </c>
      <c r="D8" s="14" t="str">
        <f xml:space="preserve"> IFERROR( _xlfn.XLOOKUP( C8, 'FF 2025'!$D$2:$D$251, 'FF 2025'!$B$2:$B$251 ), "----" )</f>
        <v>----</v>
      </c>
      <c r="F8" s="10" t="s">
        <v>1240</v>
      </c>
      <c r="G8" s="14" t="str" cm="1">
        <f t="array" ref="G8" xml:space="preserve"> IFERROR( INDEX( 'FF 2025'!D2:$D$251, MATCH( 1, ( 'FF 2025'!$F$2:$F$251 = TRUE ) * ( 'FF 2025'!$J$2:$J$251 = "TE" ), 0 ) ), "----" )</f>
        <v>----</v>
      </c>
      <c r="H8" s="14" t="str">
        <f xml:space="preserve"> IFERROR( _xlfn.XLOOKUP( G8, 'FF 2025'!$D$2:$D$251, 'FF 2025'!$B$2:$B$251 ), "----" )</f>
        <v>----</v>
      </c>
      <c r="J8" s="10" t="s">
        <v>1239</v>
      </c>
      <c r="K8" s="14" t="str" cm="1">
        <f t="array" ref="K8" xml:space="preserve"> IFERROR( INDEX( 'FF 2025'!D2:D$251, SMALL( IF( ( 'FF 2025'!$F$2:$F$251 = TRUE ) * ( 'FF 2025'!$J$2:$J$251 = "WR" ), ROW( 'FF 2025'!$D2:D$251 ) - ROW( 'FF 2025'!$D$2 ) + 1 ), 3 ) ), "----" )</f>
        <v>----</v>
      </c>
      <c r="L8" s="14" t="str">
        <f xml:space="preserve"> IFERROR( _xlfn.XLOOKUP( K8, 'FF 2025'!$D$2:$D$251, 'FF 2025'!$B$2:$B$251 ), "----" )</f>
        <v>----</v>
      </c>
    </row>
    <row r="9" spans="2:12" x14ac:dyDescent="0.15">
      <c r="B9" s="10" t="s">
        <v>1241</v>
      </c>
      <c r="C9" s="14" t="str" cm="1">
        <f t="array" ref="C9" xml:space="preserve"> IFERROR( INDEX( 'FF 2025'!$D$2:$D$251, SMALL( IF( ( 'FF 2025'!$F$2:$F$251=TRUE ) * ISNUMBER( MATCH( 'FF 2025'!$J$2:$J$251, {"RB","WR","TE"}, 0 ) ) * ISERROR( MATCH( 'FF 2025'!$D$2:$D$251, $C$4:$C$8, 0 ) ), ROW( 'FF 2025'!$D$2:$D$251 ) - ROW( 'FF 2025'!$D$2 ) + 1 ), 1 ) ), "----")</f>
        <v>----</v>
      </c>
      <c r="D9" s="14" t="str">
        <f xml:space="preserve"> IFERROR( _xlfn.XLOOKUP( C9, 'FF 2025'!$D$2:$D$251, 'FF 2025'!$B$2:$B$251 ), "----" )</f>
        <v>----</v>
      </c>
      <c r="F9" s="10" t="s">
        <v>1241</v>
      </c>
      <c r="G9" s="14" t="str" cm="1">
        <f t="array" ref="G9" xml:space="preserve"> IFERROR( INDEX( 'FF 2025'!D2:$D$251, SMALL( IF( ( 'FF 2025'!$F$2:$F$251=TRUE ) * ISNUMBER( MATCH( 'FF 2025'!$J$2:$J$251, {"RB","WR","TE"}, 0 ) ) * ISERROR( MATCH( 'FF 2025'!D2:$D$251, $G$4:$G$8, 0 ) ), ROW( 'FF 2025'!D2:$D$251 ) - ROW( 'FF 2025'!$D$2 ) + 1 ), 1 ) ), "----")</f>
        <v>----</v>
      </c>
      <c r="H9" s="14" t="str">
        <f xml:space="preserve"> IFERROR( _xlfn.XLOOKUP( G9, 'FF 2025'!$D$2:$D$251, 'FF 2025'!$B$2:$B$251 ), "----" )</f>
        <v>----</v>
      </c>
      <c r="J9" s="10" t="s">
        <v>1240</v>
      </c>
      <c r="K9" s="14" t="str" cm="1">
        <f t="array" ref="K9" xml:space="preserve"> IFERROR( INDEX( 'FF 2025'!D2:D$251, MATCH( 1, ( 'FF 2025'!$F$2:$F$251 = TRUE ) * ( 'FF 2025'!$J$2:$J$251 = "TE" ), 0 ) ), "----" )</f>
        <v>----</v>
      </c>
      <c r="L9" s="14" t="str">
        <f xml:space="preserve"> IFERROR( _xlfn.XLOOKUP( K9, 'FF 2025'!$D$2:$D$251, 'FF 2025'!$B$2:$B$251 ), "----" )</f>
        <v>----</v>
      </c>
    </row>
    <row r="10" spans="2:12" x14ac:dyDescent="0.15">
      <c r="B10" s="10" t="s">
        <v>1242</v>
      </c>
      <c r="C10" s="14" t="str" cm="1">
        <f t="array" ref="C10" xml:space="preserve"> IFERROR( INDEX( 'FF 2025'!$D$2:$D$251, MATCH( 1, ( 'FF 2025'!$F$2:$F$251 = TRUE ) * ( 'FF 2025'!$J$2:$J$251 = "DST" ), 0 ) ), "----" )</f>
        <v>----</v>
      </c>
      <c r="D10" s="14" t="str">
        <f xml:space="preserve"> IFERROR( _xlfn.XLOOKUP( C10, 'FF 2025'!$D$2:$D$251, 'FF 2025'!$B$2:$B$251 ), "----" )</f>
        <v>----</v>
      </c>
      <c r="F10" s="10" t="s">
        <v>1241</v>
      </c>
      <c r="G10" s="14" t="str" cm="1">
        <f t="array" ref="G10" xml:space="preserve"> IFERROR( INDEX( 'FF 2025'!D2:$D$251, SMALL( IF( ( 'FF 2025'!$F$2:$F$251=TRUE ) * ISNUMBER( MATCH( 'FF 2025'!$J$2:$J$251, {"RB","WR","TE"}, 0 ) ) * ISERROR( MATCH( 'FF 2025'!D2:$D$251, $G$4:$G$9, 0 ) ), ROW( 'FF 2025'!D2:$D$251 ) - ROW( 'FF 2025'!$D$2 ) + 1 ), 1 ) ), "----")</f>
        <v>----</v>
      </c>
      <c r="H10" s="14" t="str">
        <f xml:space="preserve"> IFERROR( _xlfn.XLOOKUP( G10, 'FF 2025'!$D$2:$D$251, 'FF 2025'!$B$2:$B$251 ), "----" )</f>
        <v>----</v>
      </c>
      <c r="J10" s="10" t="s">
        <v>1241</v>
      </c>
      <c r="K10" s="14" t="str" cm="1">
        <f t="array" ref="K10" xml:space="preserve"> IFERROR( INDEX( 'FF 2025'!D2:$D$251, SMALL( IF( ( 'FF 2025'!$F$2:$F$251=TRUE ) * ISNUMBER( MATCH( 'FF 2025'!$J$2:$J$251, {"RB","WR","TE"}, 0 ) ) * ISERROR( MATCH( 'FF 2025'!D2:D$251, $K$4:$K$9, 0 ) ), ROW( 'FF 2025'!$D2:L$251 ) - ROW( 'FF 2025'!$D$2 ) + 1 ), 1 ) ), "----")</f>
        <v>----</v>
      </c>
      <c r="L10" s="14" t="str">
        <f xml:space="preserve"> IFERROR( _xlfn.XLOOKUP( K10, 'FF 2025'!$D$2:$D$251, 'FF 2025'!$B$2:$B$251 ), "----" )</f>
        <v>----</v>
      </c>
    </row>
    <row r="11" spans="2:12" x14ac:dyDescent="0.15">
      <c r="B11" s="10" t="s">
        <v>1243</v>
      </c>
      <c r="C11" s="14" t="str" cm="1">
        <f t="array" ref="C11" xml:space="preserve"> IFERROR( INDEX( 'FF 2025'!$D$2:$D$251, MATCH( 1, ( 'FF 2025'!$F$2:$F$251 = TRUE ) * ( 'FF 2025'!$J$2:$J$251 = "K" ), 0 ) ), "----" )</f>
        <v>----</v>
      </c>
      <c r="D11" s="14" t="str">
        <f xml:space="preserve"> IFERROR( _xlfn.XLOOKUP( C11, 'FF 2025'!$D$2:$D$251, 'FF 2025'!$B$2:$B$251 ), "----" )</f>
        <v>----</v>
      </c>
      <c r="F11" s="10" t="s">
        <v>1242</v>
      </c>
      <c r="G11" s="14" t="str" cm="1">
        <f t="array" ref="G11" xml:space="preserve"> IFERROR( INDEX( 'FF 2025'!D2:$D$251, MATCH( 1, ( 'FF 2025'!$F$2:$F$251 = TRUE ) * ( 'FF 2025'!$J$2:$J$251 = "DST" ), 0 ) ), "----" )</f>
        <v>----</v>
      </c>
      <c r="H11" s="14" t="str">
        <f xml:space="preserve"> IFERROR( _xlfn.XLOOKUP( G11, 'FF 2025'!$D$2:$D$251, 'FF 2025'!$B$2:$B$251 ), "----" )</f>
        <v>----</v>
      </c>
      <c r="J11" s="10" t="s">
        <v>1242</v>
      </c>
      <c r="K11" s="14" t="str" cm="1">
        <f t="array" ref="K11" xml:space="preserve"> IFERROR( INDEX( 'FF 2025'!$D2:D$251, MATCH( 1, ( 'FF 2025'!$F$2:$F$251 = TRUE ) * ( 'FF 2025'!$J$2:$J$251 = "DST" ), 0 ) ), "----" )</f>
        <v>----</v>
      </c>
      <c r="L11" s="14" t="str">
        <f xml:space="preserve"> IFERROR( _xlfn.XLOOKUP( K11, 'FF 2025'!$D$2:$D$251, 'FF 2025'!$B$2:$B$251 ), "----" )</f>
        <v>----</v>
      </c>
    </row>
    <row r="12" spans="2:12" x14ac:dyDescent="0.15">
      <c r="B12" s="10" t="s">
        <v>1244</v>
      </c>
      <c r="C12" s="14" t="str" cm="1">
        <f t="array" ref="C12">IFERROR(INDEX('FF 2025'!$D$2:$D$251, SMALL(IF(('FF 2025'!$F$2:$F$251=TRUE)*ISERROR(MATCH('FF 2025'!$D$2:$D$251,$C$3:$C11,0)), ROW('FF 2025'!$D$2:$D$251)-ROW('FF 2025'!$D$2)+1), 1)), "----")</f>
        <v>----</v>
      </c>
      <c r="D12" s="14" t="str">
        <f xml:space="preserve"> IFERROR( _xlfn.XLOOKUP( C12, 'FF 2025'!$D$2:$D$251, 'FF 2025'!$B$2:$B$251 ), "----" )</f>
        <v>----</v>
      </c>
      <c r="F12" s="10" t="s">
        <v>1243</v>
      </c>
      <c r="G12" s="14" t="str" cm="1">
        <f t="array" ref="G12" xml:space="preserve"> IFERROR( INDEX( 'FF 2025'!D2:$D$251, MATCH( 1, ( 'FF 2025'!$F$2:$F$251 = TRUE ) * ( 'FF 2025'!$J$2:$J$251 = "K" ), 0 ) ), "----" )</f>
        <v>----</v>
      </c>
      <c r="H12" s="14" t="str">
        <f xml:space="preserve"> IFERROR( _xlfn.XLOOKUP( G12, 'FF 2025'!$D$2:$D$251, 'FF 2025'!$B$2:$B$251 ), "----" )</f>
        <v>----</v>
      </c>
      <c r="J12" s="10" t="s">
        <v>1243</v>
      </c>
      <c r="K12" s="14" t="str" cm="1">
        <f t="array" ref="K12" xml:space="preserve"> IFERROR( INDEX( 'FF 2025'!$D2:D$251, MATCH( 1, ( 'FF 2025'!$F$2:$F$251 = TRUE ) * ( 'FF 2025'!$J$2:$J$251 = "K" ), 0 ) ), "----" )</f>
        <v>----</v>
      </c>
      <c r="L12" s="14" t="str">
        <f xml:space="preserve"> IFERROR( _xlfn.XLOOKUP( K12, 'FF 2025'!$D$2:$D$251, 'FF 2025'!$B$2:$B$251 ), "----" )</f>
        <v>----</v>
      </c>
    </row>
    <row r="13" spans="2:12" x14ac:dyDescent="0.15">
      <c r="B13" s="10" t="s">
        <v>1244</v>
      </c>
      <c r="C13" s="14" t="str" cm="1">
        <f t="array" ref="C13">IFERROR(INDEX('FF 2025'!$D$2:$D$251, SMALL(IF(('FF 2025'!$F$2:$F$251=TRUE)*ISERROR(MATCH('FF 2025'!$D$2:$D$251,$C$3:$C12,0)), ROW('FF 2025'!$D$2:$D$251)-ROW('FF 2025'!$D$2)+1), 1)), "----")</f>
        <v>----</v>
      </c>
      <c r="D13" s="14" t="str">
        <f xml:space="preserve"> IFERROR( _xlfn.XLOOKUP( C13, 'FF 2025'!$D$2:$D$251, 'FF 2025'!$B$2:$B$251 ), "----" )</f>
        <v>----</v>
      </c>
      <c r="F13" s="10" t="s">
        <v>1244</v>
      </c>
      <c r="G13" s="14" t="str" cm="1">
        <f t="array" ref="G13">IFERROR(INDEX('FF 2025'!D2:$D$251, SMALL(IF(('FF 2025'!$F$2:$F$251=TRUE)*ISERROR(MATCH('FF 2025'!D2:$D$251,$G$3:$G$12,0)), ROW('FF 2025'!D2:$D$251)-ROW('FF 2025'!$D$2)+1), 1)), "----")</f>
        <v>----</v>
      </c>
      <c r="H13" s="14" t="str">
        <f xml:space="preserve"> IFERROR( _xlfn.XLOOKUP( G13, 'FF 2025'!$D$2:$D$251, 'FF 2025'!$B$2:$B$251 ), "----" )</f>
        <v>----</v>
      </c>
      <c r="J13" s="10" t="s">
        <v>1244</v>
      </c>
      <c r="K13" s="14" t="str" cm="1">
        <f t="array" ref="K13">IFERROR(INDEX('FF 2025'!$D$2:D$251, SMALL(IF(('FF 2025'!$F$2:$F$251=TRUE)*ISERROR(MATCH('FF 2025'!$D$2:D$251,$K$3:$K12,0)), ROW('FF 2025'!$D$2:D$251)-ROW('FF 2025'!$D$2)+1), 1)), "----")</f>
        <v>----</v>
      </c>
      <c r="L13" s="14" t="str">
        <f xml:space="preserve"> IFERROR( _xlfn.XLOOKUP( K13, 'FF 2025'!$D$2:$D$251, 'FF 2025'!$B$2:$B$251 ), "----" )</f>
        <v>----</v>
      </c>
    </row>
    <row r="14" spans="2:12" x14ac:dyDescent="0.15">
      <c r="B14" s="10" t="s">
        <v>1244</v>
      </c>
      <c r="C14" s="14" t="str" cm="1">
        <f t="array" ref="C14">IFERROR(INDEX('FF 2025'!$D$2:$D$251, SMALL(IF(('FF 2025'!$F$2:$F$251=TRUE)*ISERROR(MATCH('FF 2025'!$D$2:$D$251,$C$3:$C13,0)), ROW('FF 2025'!$D$2:$D$251)-ROW('FF 2025'!$D$2)+1), 1)), "----")</f>
        <v>----</v>
      </c>
      <c r="D14" s="14" t="str">
        <f xml:space="preserve"> IFERROR( _xlfn.XLOOKUP( C14, 'FF 2025'!$D$2:$D$251, 'FF 2025'!$B$2:$B$251 ), "----" )</f>
        <v>----</v>
      </c>
      <c r="F14" s="10" t="s">
        <v>1244</v>
      </c>
      <c r="G14" s="14" t="str" cm="1">
        <f t="array" ref="G14">IFERROR(INDEX('FF 2025'!D2:$D$251, SMALL(IF(('FF 2025'!$F$2:$F$251=TRUE)*ISERROR(MATCH('FF 2025'!D2:$D$251,$G$3:$G$13,0)), ROW('FF 2025'!D2:$D$251)-ROW('FF 2025'!$D$2)+1), 1)), "----")</f>
        <v>----</v>
      </c>
      <c r="H14" s="14" t="str">
        <f xml:space="preserve"> IFERROR( _xlfn.XLOOKUP( G14, 'FF 2025'!$D$2:$D$251, 'FF 2025'!$B$2:$B$251 ), "----" )</f>
        <v>----</v>
      </c>
      <c r="J14" s="10" t="s">
        <v>1244</v>
      </c>
      <c r="K14" s="14" t="str" cm="1">
        <f t="array" ref="K14">IFERROR(INDEX('FF 2025'!$D$2:D$251, SMALL(IF(('FF 2025'!$F$2:$F$251=TRUE)*ISERROR(MATCH('FF 2025'!$D$2:D$251,$K$3:$K13,0)), ROW('FF 2025'!$D$2:D$251)-ROW('FF 2025'!$D$2)+1), 1)), "----")</f>
        <v>----</v>
      </c>
      <c r="L14" s="14" t="str">
        <f xml:space="preserve"> IFERROR( _xlfn.XLOOKUP( K14, 'FF 2025'!$D$2:$D$251, 'FF 2025'!$B$2:$B$251 ), "----" )</f>
        <v>----</v>
      </c>
    </row>
    <row r="15" spans="2:12" x14ac:dyDescent="0.15">
      <c r="B15" s="11" t="s">
        <v>1244</v>
      </c>
      <c r="C15" s="14" t="str" cm="1">
        <f t="array" ref="C15">IFERROR(INDEX('FF 2025'!$D$2:$D$251, SMALL(IF(('FF 2025'!$F$2:$F$251=TRUE)*ISERROR(MATCH('FF 2025'!$D$2:$D$251,$C$3:$C14,0)), ROW('FF 2025'!$D$2:$D$251)-ROW('FF 2025'!$D$2)+1), 1)), "----")</f>
        <v>----</v>
      </c>
      <c r="D15" s="14" t="str">
        <f xml:space="preserve"> IFERROR( _xlfn.XLOOKUP( C15, 'FF 2025'!$D$2:$D$251, 'FF 2025'!$B$2:$B$251 ), "----" )</f>
        <v>----</v>
      </c>
      <c r="F15" s="10" t="s">
        <v>1244</v>
      </c>
      <c r="G15" s="14" t="str" cm="1">
        <f t="array" ref="G15">IFERROR(INDEX('FF 2025'!D2:$D$251, SMALL(IF(('FF 2025'!$F$2:$F$251=TRUE)*ISERROR(MATCH('FF 2025'!D2:$D$251,$G$3:$G$14,0)), ROW('FF 2025'!D2:$D$251)-ROW('FF 2025'!$D$2)+1), 1)), "----")</f>
        <v>----</v>
      </c>
      <c r="H15" s="14" t="str">
        <f xml:space="preserve"> IFERROR( _xlfn.XLOOKUP( G15, 'FF 2025'!$D$2:$D$251, 'FF 2025'!$B$2:$B$251 ), "----" )</f>
        <v>----</v>
      </c>
      <c r="J15" s="10" t="s">
        <v>1244</v>
      </c>
      <c r="K15" s="14" t="str" cm="1">
        <f t="array" ref="K15">IFERROR(INDEX('FF 2025'!$D$2:D$251, SMALL(IF(('FF 2025'!$F$2:$F$251=TRUE)*ISERROR(MATCH('FF 2025'!$D$2:D$251,$K$3:$K14,0)), ROW('FF 2025'!$D$2:D$251)-ROW('FF 2025'!$D$2)+1), 1)), "----")</f>
        <v>----</v>
      </c>
      <c r="L15" s="14" t="str">
        <f xml:space="preserve"> IFERROR( _xlfn.XLOOKUP( K15, 'FF 2025'!$D$2:$D$251, 'FF 2025'!$B$2:$B$251 ), "----" )</f>
        <v>----</v>
      </c>
    </row>
    <row r="16" spans="2:12" x14ac:dyDescent="0.15">
      <c r="B16" s="10" t="s">
        <v>1244</v>
      </c>
      <c r="C16" s="14" t="str" cm="1">
        <f t="array" ref="C16">IFERROR(INDEX('FF 2025'!$D$2:$D$251, SMALL(IF(('FF 2025'!$F$2:$F$251=TRUE)*ISERROR(MATCH('FF 2025'!$D$2:$D$251,$C$3:$C15,0)), ROW('FF 2025'!$D$2:$D$251)-ROW('FF 2025'!$D$2)+1), 1)), "----")</f>
        <v>----</v>
      </c>
      <c r="D16" s="14" t="str">
        <f xml:space="preserve"> IFERROR( _xlfn.XLOOKUP( C16, 'FF 2025'!$D$2:$D$251, 'FF 2025'!$B$2:$B$251 ), "----" )</f>
        <v>----</v>
      </c>
      <c r="F16" s="11" t="s">
        <v>1244</v>
      </c>
      <c r="G16" s="15" t="str" cm="1">
        <f t="array" ref="G16">IFERROR(INDEX('FF 2025'!D2:$D$251, SMALL(IF(('FF 2025'!$F$2:$F$251=TRUE)*ISERROR(MATCH('FF 2025'!D2:$D$251,$G$3:$G$15,0)), ROW('FF 2025'!D2:$D$251)-ROW('FF 2025'!$D$2)+1), 1)), "----")</f>
        <v>----</v>
      </c>
      <c r="H16" s="14" t="str">
        <f xml:space="preserve"> IFERROR( _xlfn.XLOOKUP( G16, 'FF 2025'!$D$2:$D$251, 'FF 2025'!$B$2:$B$251 ), "----" )</f>
        <v>----</v>
      </c>
      <c r="J16" s="11" t="s">
        <v>1244</v>
      </c>
      <c r="K16" s="14" t="str" cm="1">
        <f t="array" ref="K16">IFERROR(INDEX('FF 2025'!$D$2:D$251, SMALL(IF(('FF 2025'!$F$2:$F$251=TRUE)*ISERROR(MATCH('FF 2025'!$D$2:D$251,$K$3:$K15,0)), ROW('FF 2025'!$D$2:D$251)-ROW('FF 2025'!$D$2)+1), 1)), "----")</f>
        <v>----</v>
      </c>
      <c r="L16" s="14" t="str">
        <f xml:space="preserve"> IFERROR( _xlfn.XLOOKUP( K16, 'FF 2025'!$D$2:$D$251, 'FF 2025'!$B$2:$B$251 ), "----" )</f>
        <v>----</v>
      </c>
    </row>
    <row r="17" spans="2:12" x14ac:dyDescent="0.15">
      <c r="B17" s="11" t="s">
        <v>1244</v>
      </c>
      <c r="C17" s="14" t="str" cm="1">
        <f t="array" ref="C17">IFERROR(INDEX('FF 2025'!$D$2:$D$251, SMALL(IF(('FF 2025'!$F$2:$F$251=TRUE)*ISERROR(MATCH('FF 2025'!$D$2:$D$251,$C$3:$C16,0)), ROW('FF 2025'!$D$2:$D$251)-ROW('FF 2025'!$D$2)+1), 1)), "----")</f>
        <v>----</v>
      </c>
      <c r="D17" s="14" t="str">
        <f xml:space="preserve"> IFERROR( _xlfn.XLOOKUP( C17, 'FF 2025'!$D$2:$D$251, 'FF 2025'!$B$2:$B$251 ), "----" )</f>
        <v>----</v>
      </c>
      <c r="F17" s="10" t="s">
        <v>1244</v>
      </c>
      <c r="G17" s="14" t="str" cm="1">
        <f t="array" ref="G17">IFERROR(INDEX('FF 2025'!D2:$D$251, SMALL(IF(('FF 2025'!$F$2:$F$251=TRUE)*ISERROR(MATCH('FF 2025'!D2:$D$251,$G$3:$G$16,0)), ROW('FF 2025'!D2:$D$251)-ROW('FF 2025'!$D$2)+1), 1)), "----")</f>
        <v>----</v>
      </c>
      <c r="H17" s="14" t="str">
        <f xml:space="preserve"> IFERROR( _xlfn.XLOOKUP( G17, 'FF 2025'!$D$2:$D$251, 'FF 2025'!$B$2:$B$251 ), "----" )</f>
        <v>----</v>
      </c>
      <c r="J17" s="10" t="s">
        <v>1244</v>
      </c>
      <c r="K17" s="14" t="str" cm="1">
        <f t="array" ref="K17">IFERROR(INDEX('FF 2025'!$D$2:D$251, SMALL(IF(('FF 2025'!$F$2:$F$251=TRUE)*ISERROR(MATCH('FF 2025'!$D$2:D$251,$K$3:$K16,0)), ROW('FF 2025'!$D$2:D$251)-ROW('FF 2025'!$D$2)+1), 1)), "----")</f>
        <v>----</v>
      </c>
      <c r="L17" s="14" t="str">
        <f xml:space="preserve"> IFERROR( _xlfn.XLOOKUP( K17, 'FF 2025'!$D$2:$D$251, 'FF 2025'!$B$2:$B$251 ), "----" )</f>
        <v>----</v>
      </c>
    </row>
    <row r="18" spans="2:12" x14ac:dyDescent="0.15">
      <c r="F18" s="11" t="s">
        <v>1244</v>
      </c>
      <c r="G18" s="15" t="str" cm="1">
        <f t="array" ref="G18">IFERROR(INDEX('FF 2025'!D2:$D$251, SMALL(IF(('FF 2025'!$F$2:$F$251=TRUE)*ISERROR(MATCH('FF 2025'!D2:$D$251,$G$3:$G$17,0)), ROW('FF 2025'!D2:$D$251)-ROW('FF 2025'!$D$2)+1), 1)), "----")</f>
        <v>----</v>
      </c>
      <c r="H18" s="14" t="str">
        <f xml:space="preserve"> IFERROR( _xlfn.XLOOKUP( G18, 'FF 2025'!$D$2:$D$251, 'FF 2025'!$B$2:$B$251 ), "----" )</f>
        <v>----</v>
      </c>
      <c r="J18" s="11" t="s">
        <v>1244</v>
      </c>
      <c r="K18" s="14" t="str" cm="1">
        <f t="array" ref="K18">IFERROR(INDEX('FF 2025'!$D$2:D$251, SMALL(IF(('FF 2025'!$F$2:$F$251=TRUE)*ISERROR(MATCH('FF 2025'!$D$2:D$251,$K$3:$K17,0)), ROW('FF 2025'!$D$2:D$251)-ROW('FF 2025'!$D$2)+1), 1)), "----")</f>
        <v>----</v>
      </c>
      <c r="L18" s="14" t="str">
        <f xml:space="preserve"> IFERROR( _xlfn.XLOOKUP( K18, 'FF 2025'!$D$2:$D$251, 'FF 2025'!$B$2:$B$251 ), "----" )</f>
        <v>----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30"/>
  <sheetViews>
    <sheetView workbookViewId="0">
      <selection activeCell="F12" sqref="F12"/>
    </sheetView>
  </sheetViews>
  <sheetFormatPr baseColWidth="10" defaultColWidth="12.6640625" defaultRowHeight="15.75" customHeight="1" x14ac:dyDescent="0.15"/>
  <cols>
    <col min="1" max="1" width="4.1640625" bestFit="1" customWidth="1"/>
    <col min="2" max="2" width="6.1640625" bestFit="1" customWidth="1"/>
    <col min="3" max="3" width="21.6640625" bestFit="1" customWidth="1"/>
    <col min="4" max="4" width="5.83203125" bestFit="1" customWidth="1"/>
    <col min="5" max="5" width="6.83203125" bestFit="1" customWidth="1"/>
    <col min="6" max="6" width="10.1640625" bestFit="1" customWidth="1"/>
    <col min="7" max="7" width="32.6640625" bestFit="1" customWidth="1"/>
    <col min="8" max="8" width="30.6640625" bestFit="1" customWidth="1"/>
    <col min="9" max="9" width="12.83203125" bestFit="1" customWidth="1"/>
    <col min="10" max="10" width="12" bestFit="1" customWidth="1"/>
  </cols>
  <sheetData>
    <row r="1" spans="1:10" ht="13" x14ac:dyDescent="0.1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1139</v>
      </c>
      <c r="G1" t="s">
        <v>1245</v>
      </c>
      <c r="H1" t="s">
        <v>1246</v>
      </c>
      <c r="I1" t="s">
        <v>1140</v>
      </c>
      <c r="J1" t="s">
        <v>1141</v>
      </c>
    </row>
    <row r="2" spans="1:10" ht="13" x14ac:dyDescent="0.15">
      <c r="A2" s="1">
        <v>1</v>
      </c>
      <c r="B2" s="1">
        <v>1</v>
      </c>
      <c r="C2" s="1" t="s">
        <v>16</v>
      </c>
      <c r="D2" s="1" t="s">
        <v>17</v>
      </c>
      <c r="E2" s="1" t="s">
        <v>18</v>
      </c>
      <c r="F2">
        <v>10</v>
      </c>
      <c r="G2" t="s">
        <v>1247</v>
      </c>
      <c r="H2" t="s">
        <v>1248</v>
      </c>
      <c r="I2" t="s">
        <v>1142</v>
      </c>
      <c r="J2">
        <v>0</v>
      </c>
    </row>
    <row r="3" spans="1:10" ht="13" x14ac:dyDescent="0.15">
      <c r="A3" s="1">
        <v>2</v>
      </c>
      <c r="B3" s="1">
        <v>1</v>
      </c>
      <c r="C3" s="1" t="s">
        <v>19</v>
      </c>
      <c r="D3" s="1" t="s">
        <v>20</v>
      </c>
      <c r="E3" s="1" t="s">
        <v>21</v>
      </c>
      <c r="F3">
        <v>5</v>
      </c>
      <c r="G3" t="s">
        <v>1247</v>
      </c>
      <c r="H3" t="s">
        <v>1248</v>
      </c>
      <c r="I3" t="s">
        <v>1143</v>
      </c>
      <c r="J3">
        <v>0</v>
      </c>
    </row>
    <row r="4" spans="1:10" ht="13" x14ac:dyDescent="0.15">
      <c r="A4" s="1">
        <v>3</v>
      </c>
      <c r="B4" s="1">
        <v>1</v>
      </c>
      <c r="C4" s="1" t="s">
        <v>28</v>
      </c>
      <c r="D4" s="1" t="s">
        <v>29</v>
      </c>
      <c r="E4" s="1" t="s">
        <v>24</v>
      </c>
      <c r="F4">
        <v>8</v>
      </c>
      <c r="G4" t="s">
        <v>1247</v>
      </c>
      <c r="H4" t="s">
        <v>1248</v>
      </c>
      <c r="I4" t="s">
        <v>1144</v>
      </c>
      <c r="J4">
        <v>1</v>
      </c>
    </row>
    <row r="5" spans="1:10" ht="13" x14ac:dyDescent="0.15">
      <c r="A5" s="1">
        <v>4</v>
      </c>
      <c r="B5" s="1">
        <v>1</v>
      </c>
      <c r="C5" s="1" t="s">
        <v>31</v>
      </c>
      <c r="D5" s="1" t="s">
        <v>32</v>
      </c>
      <c r="E5" s="1" t="s">
        <v>27</v>
      </c>
      <c r="F5">
        <v>10</v>
      </c>
      <c r="G5" t="s">
        <v>1247</v>
      </c>
      <c r="H5" t="s">
        <v>1248</v>
      </c>
      <c r="I5" t="s">
        <v>1144</v>
      </c>
      <c r="J5">
        <v>2</v>
      </c>
    </row>
    <row r="6" spans="1:10" ht="13" x14ac:dyDescent="0.15">
      <c r="A6" s="1">
        <v>5</v>
      </c>
      <c r="B6" s="1">
        <v>1</v>
      </c>
      <c r="C6" s="1" t="s">
        <v>22</v>
      </c>
      <c r="D6" s="1" t="s">
        <v>23</v>
      </c>
      <c r="E6" s="1" t="s">
        <v>30</v>
      </c>
      <c r="F6">
        <v>9</v>
      </c>
      <c r="G6" t="s">
        <v>1247</v>
      </c>
      <c r="H6" t="s">
        <v>1248</v>
      </c>
      <c r="I6" t="s">
        <v>1142</v>
      </c>
      <c r="J6">
        <v>-2</v>
      </c>
    </row>
    <row r="7" spans="1:10" ht="13" x14ac:dyDescent="0.15">
      <c r="A7" s="1">
        <v>6</v>
      </c>
      <c r="B7" s="1">
        <v>1</v>
      </c>
      <c r="C7" s="1" t="s">
        <v>25</v>
      </c>
      <c r="D7" s="1" t="s">
        <v>26</v>
      </c>
      <c r="E7" s="1" t="s">
        <v>33</v>
      </c>
      <c r="F7">
        <v>6</v>
      </c>
      <c r="G7" t="s">
        <v>1247</v>
      </c>
      <c r="H7" t="s">
        <v>1248</v>
      </c>
      <c r="I7" t="s">
        <v>1144</v>
      </c>
      <c r="J7">
        <v>-1</v>
      </c>
    </row>
    <row r="8" spans="1:10" ht="13" x14ac:dyDescent="0.15">
      <c r="A8" s="1">
        <v>7</v>
      </c>
      <c r="B8" s="1">
        <v>2</v>
      </c>
      <c r="C8" s="1" t="s">
        <v>37</v>
      </c>
      <c r="D8" s="1" t="s">
        <v>38</v>
      </c>
      <c r="E8" s="1" t="s">
        <v>36</v>
      </c>
      <c r="F8">
        <v>14</v>
      </c>
      <c r="G8" t="s">
        <v>1247</v>
      </c>
      <c r="H8" t="s">
        <v>1248</v>
      </c>
      <c r="I8" t="s">
        <v>1144</v>
      </c>
      <c r="J8">
        <v>4</v>
      </c>
    </row>
    <row r="9" spans="1:10" ht="13" x14ac:dyDescent="0.15">
      <c r="A9" s="1">
        <v>8</v>
      </c>
      <c r="B9" s="1">
        <v>2</v>
      </c>
      <c r="C9" s="1" t="s">
        <v>48</v>
      </c>
      <c r="D9" s="1" t="s">
        <v>49</v>
      </c>
      <c r="E9" s="1" t="s">
        <v>50</v>
      </c>
      <c r="F9">
        <v>14</v>
      </c>
      <c r="G9" t="s">
        <v>1247</v>
      </c>
      <c r="H9" t="s">
        <v>1248</v>
      </c>
      <c r="I9" t="s">
        <v>1142</v>
      </c>
      <c r="J9">
        <v>-1</v>
      </c>
    </row>
    <row r="10" spans="1:10" ht="13" x14ac:dyDescent="0.15">
      <c r="A10" s="1">
        <v>9</v>
      </c>
      <c r="B10" s="1">
        <v>2</v>
      </c>
      <c r="C10" s="1" t="s">
        <v>40</v>
      </c>
      <c r="D10" s="1" t="s">
        <v>41</v>
      </c>
      <c r="E10" s="1" t="s">
        <v>39</v>
      </c>
      <c r="F10">
        <v>6</v>
      </c>
      <c r="G10" t="s">
        <v>1247</v>
      </c>
      <c r="H10" t="s">
        <v>1248</v>
      </c>
      <c r="I10" t="s">
        <v>1143</v>
      </c>
      <c r="J10">
        <v>3</v>
      </c>
    </row>
    <row r="11" spans="1:10" ht="13" x14ac:dyDescent="0.15">
      <c r="A11" s="1">
        <v>10</v>
      </c>
      <c r="B11" s="1">
        <v>2</v>
      </c>
      <c r="C11" s="1" t="s">
        <v>43</v>
      </c>
      <c r="D11" s="1" t="s">
        <v>29</v>
      </c>
      <c r="E11" s="1" t="s">
        <v>42</v>
      </c>
      <c r="F11">
        <v>8</v>
      </c>
      <c r="G11" t="s">
        <v>1247</v>
      </c>
      <c r="H11" t="s">
        <v>1248</v>
      </c>
      <c r="I11" t="s">
        <v>1142</v>
      </c>
      <c r="J11">
        <v>-1</v>
      </c>
    </row>
    <row r="12" spans="1:10" ht="13" x14ac:dyDescent="0.15">
      <c r="A12" s="1">
        <v>11</v>
      </c>
      <c r="B12" s="1">
        <v>2</v>
      </c>
      <c r="C12" s="1" t="s">
        <v>54</v>
      </c>
      <c r="D12" s="1" t="s">
        <v>55</v>
      </c>
      <c r="E12" s="1" t="s">
        <v>53</v>
      </c>
      <c r="F12">
        <v>7</v>
      </c>
      <c r="G12" t="s">
        <v>1247</v>
      </c>
      <c r="H12" t="s">
        <v>1248</v>
      </c>
      <c r="I12" t="s">
        <v>1142</v>
      </c>
      <c r="J12">
        <v>-3</v>
      </c>
    </row>
    <row r="13" spans="1:10" ht="13" x14ac:dyDescent="0.15">
      <c r="A13" s="1">
        <v>12</v>
      </c>
      <c r="B13" s="1">
        <v>2</v>
      </c>
      <c r="C13" s="1" t="s">
        <v>34</v>
      </c>
      <c r="D13" s="1" t="s">
        <v>35</v>
      </c>
      <c r="E13" s="1" t="s">
        <v>44</v>
      </c>
      <c r="F13">
        <v>8</v>
      </c>
      <c r="G13" t="s">
        <v>1247</v>
      </c>
      <c r="H13" t="s">
        <v>1248</v>
      </c>
      <c r="I13" t="s">
        <v>1142</v>
      </c>
      <c r="J13">
        <v>2</v>
      </c>
    </row>
    <row r="14" spans="1:10" ht="13" x14ac:dyDescent="0.15">
      <c r="A14" s="1">
        <v>13</v>
      </c>
      <c r="B14" s="1">
        <v>2</v>
      </c>
      <c r="C14" s="1" t="s">
        <v>51</v>
      </c>
      <c r="D14" s="1" t="s">
        <v>52</v>
      </c>
      <c r="E14" s="1" t="s">
        <v>56</v>
      </c>
      <c r="F14">
        <v>8</v>
      </c>
      <c r="G14" t="s">
        <v>1247</v>
      </c>
      <c r="H14" t="s">
        <v>1248</v>
      </c>
      <c r="I14" t="s">
        <v>1144</v>
      </c>
      <c r="J14">
        <v>-3</v>
      </c>
    </row>
    <row r="15" spans="1:10" ht="13" x14ac:dyDescent="0.15">
      <c r="A15" s="1">
        <v>14</v>
      </c>
      <c r="B15" s="1">
        <v>2</v>
      </c>
      <c r="C15" s="1" t="s">
        <v>45</v>
      </c>
      <c r="D15" s="1" t="s">
        <v>46</v>
      </c>
      <c r="E15" s="1" t="s">
        <v>47</v>
      </c>
      <c r="F15">
        <v>8</v>
      </c>
      <c r="G15" t="s">
        <v>1247</v>
      </c>
      <c r="H15" t="s">
        <v>1248</v>
      </c>
      <c r="I15" t="s">
        <v>1143</v>
      </c>
      <c r="J15">
        <v>1</v>
      </c>
    </row>
    <row r="16" spans="1:10" ht="13" x14ac:dyDescent="0.15">
      <c r="A16" s="1">
        <v>15</v>
      </c>
      <c r="B16" s="1">
        <v>2</v>
      </c>
      <c r="C16" s="1" t="s">
        <v>60</v>
      </c>
      <c r="D16" s="1" t="s">
        <v>20</v>
      </c>
      <c r="E16" s="1" t="s">
        <v>61</v>
      </c>
      <c r="F16">
        <v>5</v>
      </c>
      <c r="G16" t="s">
        <v>1247</v>
      </c>
      <c r="H16" t="s">
        <v>1248</v>
      </c>
      <c r="I16" t="s">
        <v>1142</v>
      </c>
      <c r="J16">
        <v>2</v>
      </c>
    </row>
    <row r="17" spans="1:10" ht="13" x14ac:dyDescent="0.15">
      <c r="A17" s="1">
        <v>16</v>
      </c>
      <c r="B17" s="1">
        <v>3</v>
      </c>
      <c r="C17" s="1" t="s">
        <v>57</v>
      </c>
      <c r="D17" s="1" t="s">
        <v>58</v>
      </c>
      <c r="E17" s="1" t="s">
        <v>59</v>
      </c>
      <c r="F17">
        <v>12</v>
      </c>
      <c r="G17" t="s">
        <v>1247</v>
      </c>
      <c r="H17" t="s">
        <v>1248</v>
      </c>
      <c r="I17" t="s">
        <v>1143</v>
      </c>
      <c r="J17">
        <v>0</v>
      </c>
    </row>
    <row r="18" spans="1:10" ht="13" x14ac:dyDescent="0.15">
      <c r="A18" s="1">
        <v>17</v>
      </c>
      <c r="B18" s="1">
        <v>3</v>
      </c>
      <c r="C18" s="1" t="s">
        <v>66</v>
      </c>
      <c r="D18" s="1" t="s">
        <v>67</v>
      </c>
      <c r="E18" s="1" t="s">
        <v>68</v>
      </c>
      <c r="F18">
        <v>11</v>
      </c>
      <c r="G18" t="s">
        <v>1247</v>
      </c>
      <c r="H18" t="s">
        <v>1248</v>
      </c>
      <c r="I18" t="s">
        <v>1144</v>
      </c>
      <c r="J18">
        <v>1</v>
      </c>
    </row>
    <row r="19" spans="1:10" ht="13" x14ac:dyDescent="0.15">
      <c r="A19" s="1">
        <v>18</v>
      </c>
      <c r="B19" s="1">
        <v>3</v>
      </c>
      <c r="C19" s="1" t="s">
        <v>64</v>
      </c>
      <c r="D19" s="1" t="s">
        <v>23</v>
      </c>
      <c r="E19" s="1" t="s">
        <v>65</v>
      </c>
      <c r="F19">
        <v>9</v>
      </c>
      <c r="G19" t="s">
        <v>1247</v>
      </c>
      <c r="H19" t="s">
        <v>1248</v>
      </c>
      <c r="I19" t="s">
        <v>1142</v>
      </c>
      <c r="J19">
        <v>2</v>
      </c>
    </row>
    <row r="20" spans="1:10" ht="13" x14ac:dyDescent="0.15">
      <c r="A20" s="1">
        <v>19</v>
      </c>
      <c r="B20" s="1">
        <v>3</v>
      </c>
      <c r="C20" s="1" t="s">
        <v>62</v>
      </c>
      <c r="D20" s="1" t="s">
        <v>52</v>
      </c>
      <c r="E20" s="1" t="s">
        <v>63</v>
      </c>
      <c r="F20">
        <v>8</v>
      </c>
      <c r="G20" t="s">
        <v>1247</v>
      </c>
      <c r="H20" t="s">
        <v>1248</v>
      </c>
      <c r="I20" t="s">
        <v>1144</v>
      </c>
      <c r="J20">
        <v>3</v>
      </c>
    </row>
    <row r="21" spans="1:10" ht="13" x14ac:dyDescent="0.15">
      <c r="A21" s="1">
        <v>20</v>
      </c>
      <c r="B21" s="1">
        <v>3</v>
      </c>
      <c r="C21" s="1" t="s">
        <v>69</v>
      </c>
      <c r="D21" s="1" t="s">
        <v>70</v>
      </c>
      <c r="E21" s="1" t="s">
        <v>71</v>
      </c>
      <c r="F21">
        <v>5</v>
      </c>
      <c r="G21" t="s">
        <v>1247</v>
      </c>
      <c r="H21" t="s">
        <v>1248</v>
      </c>
      <c r="I21" t="s">
        <v>1143</v>
      </c>
      <c r="J21">
        <v>-7</v>
      </c>
    </row>
    <row r="22" spans="1:10" ht="13" x14ac:dyDescent="0.15">
      <c r="A22" s="1">
        <v>21</v>
      </c>
      <c r="B22" s="1">
        <v>3</v>
      </c>
      <c r="C22" s="1" t="s">
        <v>81</v>
      </c>
      <c r="D22" s="1" t="s">
        <v>17</v>
      </c>
      <c r="E22" s="1" t="s">
        <v>74</v>
      </c>
      <c r="F22">
        <v>10</v>
      </c>
      <c r="G22" t="s">
        <v>1247</v>
      </c>
      <c r="H22" t="s">
        <v>1248</v>
      </c>
      <c r="I22" t="s">
        <v>1142</v>
      </c>
      <c r="J22">
        <v>0</v>
      </c>
    </row>
    <row r="23" spans="1:10" ht="13" x14ac:dyDescent="0.15">
      <c r="A23" s="1">
        <v>22</v>
      </c>
      <c r="B23" s="1">
        <v>3</v>
      </c>
      <c r="C23" s="1" t="s">
        <v>72</v>
      </c>
      <c r="D23" s="1" t="s">
        <v>73</v>
      </c>
      <c r="E23" s="1" t="s">
        <v>82</v>
      </c>
      <c r="F23">
        <v>9</v>
      </c>
      <c r="G23" t="s">
        <v>1247</v>
      </c>
      <c r="H23" t="s">
        <v>1248</v>
      </c>
      <c r="I23" t="s">
        <v>1142</v>
      </c>
      <c r="J23">
        <v>-3</v>
      </c>
    </row>
    <row r="24" spans="1:10" ht="13" x14ac:dyDescent="0.15">
      <c r="A24" s="1">
        <v>23</v>
      </c>
      <c r="B24" s="1">
        <v>3</v>
      </c>
      <c r="C24" s="1" t="s">
        <v>78</v>
      </c>
      <c r="D24" s="1" t="s">
        <v>79</v>
      </c>
      <c r="E24" s="1" t="s">
        <v>80</v>
      </c>
      <c r="F24">
        <v>8</v>
      </c>
      <c r="G24" t="s">
        <v>1247</v>
      </c>
      <c r="H24" t="s">
        <v>1248</v>
      </c>
      <c r="I24" t="s">
        <v>1145</v>
      </c>
      <c r="J24">
        <v>4</v>
      </c>
    </row>
    <row r="25" spans="1:10" ht="13" x14ac:dyDescent="0.15">
      <c r="A25" s="1">
        <v>24</v>
      </c>
      <c r="B25" s="1">
        <v>3</v>
      </c>
      <c r="C25" s="1" t="s">
        <v>75</v>
      </c>
      <c r="D25" s="1" t="s">
        <v>76</v>
      </c>
      <c r="E25" s="1" t="s">
        <v>77</v>
      </c>
      <c r="F25">
        <v>12</v>
      </c>
      <c r="G25" t="s">
        <v>1247</v>
      </c>
      <c r="H25" t="s">
        <v>1248</v>
      </c>
      <c r="I25" t="s">
        <v>1142</v>
      </c>
      <c r="J25">
        <v>2</v>
      </c>
    </row>
    <row r="26" spans="1:10" ht="13" x14ac:dyDescent="0.15">
      <c r="A26" s="1">
        <v>25</v>
      </c>
      <c r="B26" s="1">
        <v>3</v>
      </c>
      <c r="C26" s="1" t="s">
        <v>83</v>
      </c>
      <c r="D26" s="1" t="s">
        <v>84</v>
      </c>
      <c r="E26" s="1" t="s">
        <v>85</v>
      </c>
      <c r="F26">
        <v>7</v>
      </c>
      <c r="G26" t="s">
        <v>1247</v>
      </c>
      <c r="H26" t="s">
        <v>1248</v>
      </c>
      <c r="I26" t="s">
        <v>1143</v>
      </c>
      <c r="J26">
        <v>-1</v>
      </c>
    </row>
    <row r="27" spans="1:10" ht="13" x14ac:dyDescent="0.15">
      <c r="A27" s="1">
        <v>26</v>
      </c>
      <c r="B27" s="1">
        <v>3</v>
      </c>
      <c r="C27" s="1" t="s">
        <v>86</v>
      </c>
      <c r="D27" s="1" t="s">
        <v>55</v>
      </c>
      <c r="E27" s="1" t="s">
        <v>87</v>
      </c>
      <c r="F27">
        <v>7</v>
      </c>
      <c r="G27" t="s">
        <v>1247</v>
      </c>
      <c r="H27" t="s">
        <v>1248</v>
      </c>
      <c r="I27" t="s">
        <v>1142</v>
      </c>
      <c r="J27">
        <v>-3</v>
      </c>
    </row>
    <row r="28" spans="1:10" ht="13" x14ac:dyDescent="0.15">
      <c r="A28" s="1">
        <v>27</v>
      </c>
      <c r="B28" s="1">
        <v>3</v>
      </c>
      <c r="C28" s="1" t="s">
        <v>88</v>
      </c>
      <c r="D28" s="1" t="s">
        <v>35</v>
      </c>
      <c r="E28" s="1" t="s">
        <v>89</v>
      </c>
      <c r="F28">
        <v>8</v>
      </c>
      <c r="G28" t="s">
        <v>1247</v>
      </c>
      <c r="H28" t="s">
        <v>1248</v>
      </c>
      <c r="I28" t="s">
        <v>1142</v>
      </c>
      <c r="J28">
        <v>-2</v>
      </c>
    </row>
    <row r="29" spans="1:10" ht="13" x14ac:dyDescent="0.15">
      <c r="A29" s="1">
        <v>28</v>
      </c>
      <c r="B29" s="1">
        <v>3</v>
      </c>
      <c r="C29" s="1" t="s">
        <v>92</v>
      </c>
      <c r="D29" s="1" t="s">
        <v>93</v>
      </c>
      <c r="E29" s="1" t="s">
        <v>91</v>
      </c>
      <c r="F29">
        <v>8</v>
      </c>
      <c r="G29" t="s">
        <v>1247</v>
      </c>
      <c r="H29" t="s">
        <v>1248</v>
      </c>
      <c r="I29" t="s">
        <v>1142</v>
      </c>
      <c r="J29">
        <v>5</v>
      </c>
    </row>
    <row r="30" spans="1:10" ht="13" x14ac:dyDescent="0.15">
      <c r="A30" s="1">
        <v>29</v>
      </c>
      <c r="B30" s="1">
        <v>3</v>
      </c>
      <c r="C30" s="1" t="s">
        <v>90</v>
      </c>
      <c r="D30" s="1" t="s">
        <v>17</v>
      </c>
      <c r="E30" s="1" t="s">
        <v>94</v>
      </c>
      <c r="F30">
        <v>10</v>
      </c>
      <c r="G30" t="s">
        <v>1247</v>
      </c>
      <c r="H30" t="s">
        <v>1248</v>
      </c>
      <c r="I30" t="s">
        <v>1142</v>
      </c>
      <c r="J30">
        <v>3</v>
      </c>
    </row>
    <row r="31" spans="1:10" ht="13" x14ac:dyDescent="0.15">
      <c r="A31" s="1">
        <v>30</v>
      </c>
      <c r="B31" s="1">
        <v>4</v>
      </c>
      <c r="C31" s="1" t="s">
        <v>100</v>
      </c>
      <c r="D31" s="1" t="s">
        <v>49</v>
      </c>
      <c r="E31" s="1" t="s">
        <v>101</v>
      </c>
      <c r="F31">
        <v>14</v>
      </c>
      <c r="G31" t="s">
        <v>1247</v>
      </c>
      <c r="H31" t="s">
        <v>1248</v>
      </c>
      <c r="I31" t="s">
        <v>1142</v>
      </c>
      <c r="J31">
        <v>4</v>
      </c>
    </row>
    <row r="32" spans="1:10" ht="13" x14ac:dyDescent="0.15">
      <c r="A32" s="1">
        <v>31</v>
      </c>
      <c r="B32" s="1">
        <v>4</v>
      </c>
      <c r="C32" s="1" t="s">
        <v>102</v>
      </c>
      <c r="D32" s="1" t="s">
        <v>103</v>
      </c>
      <c r="E32" s="1" t="s">
        <v>104</v>
      </c>
      <c r="F32">
        <v>12</v>
      </c>
      <c r="G32" t="s">
        <v>1247</v>
      </c>
      <c r="H32" t="s">
        <v>1248</v>
      </c>
      <c r="I32" t="s">
        <v>1144</v>
      </c>
      <c r="J32">
        <v>-1</v>
      </c>
    </row>
    <row r="33" spans="1:10" ht="13" x14ac:dyDescent="0.15">
      <c r="A33" s="1">
        <v>32</v>
      </c>
      <c r="B33" s="1">
        <v>4</v>
      </c>
      <c r="C33" s="1" t="s">
        <v>107</v>
      </c>
      <c r="D33" s="1" t="s">
        <v>73</v>
      </c>
      <c r="E33" s="1" t="s">
        <v>96</v>
      </c>
      <c r="F33">
        <v>9</v>
      </c>
      <c r="G33" t="s">
        <v>1247</v>
      </c>
      <c r="H33" t="s">
        <v>1248</v>
      </c>
      <c r="I33" t="s">
        <v>1142</v>
      </c>
      <c r="J33">
        <v>8</v>
      </c>
    </row>
    <row r="34" spans="1:10" ht="13" x14ac:dyDescent="0.15">
      <c r="A34" s="1">
        <v>33</v>
      </c>
      <c r="B34" s="1">
        <v>4</v>
      </c>
      <c r="C34" s="1" t="s">
        <v>113</v>
      </c>
      <c r="D34" s="1" t="s">
        <v>84</v>
      </c>
      <c r="E34" s="1" t="s">
        <v>110</v>
      </c>
      <c r="F34">
        <v>7</v>
      </c>
      <c r="G34" t="s">
        <v>1247</v>
      </c>
      <c r="H34" t="s">
        <v>1248</v>
      </c>
      <c r="I34" t="s">
        <v>1143</v>
      </c>
      <c r="J34">
        <v>-5</v>
      </c>
    </row>
    <row r="35" spans="1:10" ht="13" x14ac:dyDescent="0.15">
      <c r="A35" s="1">
        <v>34</v>
      </c>
      <c r="B35" s="1">
        <v>4</v>
      </c>
      <c r="C35" s="1" t="s">
        <v>95</v>
      </c>
      <c r="D35" s="1" t="s">
        <v>58</v>
      </c>
      <c r="E35" s="1" t="s">
        <v>99</v>
      </c>
      <c r="F35">
        <v>12</v>
      </c>
      <c r="G35" t="s">
        <v>1247</v>
      </c>
      <c r="H35" t="s">
        <v>1248</v>
      </c>
      <c r="I35" t="s">
        <v>1142</v>
      </c>
      <c r="J35">
        <v>-3</v>
      </c>
    </row>
    <row r="36" spans="1:10" ht="13" x14ac:dyDescent="0.15">
      <c r="A36" s="1">
        <v>35</v>
      </c>
      <c r="B36" s="1">
        <v>4</v>
      </c>
      <c r="C36" s="1" t="s">
        <v>127</v>
      </c>
      <c r="D36" s="1" t="s">
        <v>76</v>
      </c>
      <c r="E36" s="1" t="s">
        <v>114</v>
      </c>
      <c r="F36">
        <v>12</v>
      </c>
      <c r="G36" t="s">
        <v>1247</v>
      </c>
      <c r="H36" t="s">
        <v>1248</v>
      </c>
      <c r="I36" t="s">
        <v>1142</v>
      </c>
      <c r="J36">
        <v>-6</v>
      </c>
    </row>
    <row r="37" spans="1:10" ht="13" x14ac:dyDescent="0.15">
      <c r="A37" s="1">
        <v>36</v>
      </c>
      <c r="B37" s="1">
        <v>4</v>
      </c>
      <c r="C37" s="1" t="s">
        <v>97</v>
      </c>
      <c r="D37" s="1" t="s">
        <v>98</v>
      </c>
      <c r="E37" s="1" t="s">
        <v>106</v>
      </c>
      <c r="F37">
        <v>9</v>
      </c>
      <c r="G37" t="s">
        <v>1247</v>
      </c>
      <c r="H37" t="s">
        <v>1248</v>
      </c>
      <c r="I37" t="s">
        <v>1143</v>
      </c>
      <c r="J37">
        <v>7</v>
      </c>
    </row>
    <row r="38" spans="1:10" ht="13" x14ac:dyDescent="0.15">
      <c r="A38" s="1">
        <v>37</v>
      </c>
      <c r="B38" s="1">
        <v>4</v>
      </c>
      <c r="C38" s="1" t="s">
        <v>105</v>
      </c>
      <c r="D38" s="1" t="s">
        <v>35</v>
      </c>
      <c r="E38" s="1" t="s">
        <v>108</v>
      </c>
      <c r="F38">
        <v>8</v>
      </c>
      <c r="G38" t="s">
        <v>1247</v>
      </c>
      <c r="H38" t="s">
        <v>1248</v>
      </c>
      <c r="I38" t="s">
        <v>1142</v>
      </c>
      <c r="J38">
        <v>8</v>
      </c>
    </row>
    <row r="39" spans="1:10" ht="13" x14ac:dyDescent="0.15">
      <c r="A39" s="1">
        <v>38</v>
      </c>
      <c r="B39" s="1">
        <v>4</v>
      </c>
      <c r="C39" s="1" t="s">
        <v>111</v>
      </c>
      <c r="D39" s="1" t="s">
        <v>23</v>
      </c>
      <c r="E39" s="1" t="s">
        <v>112</v>
      </c>
      <c r="F39">
        <v>9</v>
      </c>
      <c r="G39" t="s">
        <v>1247</v>
      </c>
      <c r="H39" t="s">
        <v>1248</v>
      </c>
      <c r="I39" t="s">
        <v>1142</v>
      </c>
      <c r="J39">
        <v>-3</v>
      </c>
    </row>
    <row r="40" spans="1:10" ht="13" x14ac:dyDescent="0.15">
      <c r="A40" s="1">
        <v>39</v>
      </c>
      <c r="B40" s="1">
        <v>4</v>
      </c>
      <c r="C40" s="1" t="s">
        <v>117</v>
      </c>
      <c r="D40" s="1" t="s">
        <v>103</v>
      </c>
      <c r="E40" s="1" t="s">
        <v>118</v>
      </c>
      <c r="F40">
        <v>12</v>
      </c>
      <c r="G40" t="s">
        <v>1247</v>
      </c>
      <c r="H40" t="s">
        <v>1248</v>
      </c>
      <c r="I40" t="s">
        <v>1142</v>
      </c>
      <c r="J40">
        <v>3</v>
      </c>
    </row>
    <row r="41" spans="1:10" ht="13" x14ac:dyDescent="0.15">
      <c r="A41" s="1">
        <v>40</v>
      </c>
      <c r="B41" s="1">
        <v>4</v>
      </c>
      <c r="C41" s="1" t="s">
        <v>115</v>
      </c>
      <c r="D41" s="1" t="s">
        <v>93</v>
      </c>
      <c r="E41" s="1" t="s">
        <v>116</v>
      </c>
      <c r="F41">
        <v>8</v>
      </c>
      <c r="G41" t="s">
        <v>1247</v>
      </c>
      <c r="H41" t="s">
        <v>1248</v>
      </c>
      <c r="I41" t="s">
        <v>1142</v>
      </c>
      <c r="J41">
        <v>1</v>
      </c>
    </row>
    <row r="42" spans="1:10" ht="13" x14ac:dyDescent="0.15">
      <c r="A42" s="1">
        <v>41</v>
      </c>
      <c r="B42" s="1">
        <v>4</v>
      </c>
      <c r="C42" s="1" t="s">
        <v>119</v>
      </c>
      <c r="D42" s="1" t="s">
        <v>79</v>
      </c>
      <c r="E42" s="1" t="s">
        <v>120</v>
      </c>
      <c r="F42">
        <v>8</v>
      </c>
      <c r="G42" t="s">
        <v>1247</v>
      </c>
      <c r="H42" t="s">
        <v>1248</v>
      </c>
      <c r="I42" t="s">
        <v>1143</v>
      </c>
      <c r="J42">
        <v>-2</v>
      </c>
    </row>
    <row r="43" spans="1:10" ht="13" x14ac:dyDescent="0.15">
      <c r="A43" s="1">
        <v>42</v>
      </c>
      <c r="B43" s="1">
        <v>4</v>
      </c>
      <c r="C43" s="1" t="s">
        <v>121</v>
      </c>
      <c r="D43" s="1" t="s">
        <v>122</v>
      </c>
      <c r="E43" s="1" t="s">
        <v>123</v>
      </c>
      <c r="F43">
        <v>11</v>
      </c>
      <c r="G43" t="s">
        <v>1247</v>
      </c>
      <c r="H43" t="s">
        <v>1248</v>
      </c>
      <c r="I43" t="s">
        <v>1143</v>
      </c>
      <c r="J43">
        <v>-5</v>
      </c>
    </row>
    <row r="44" spans="1:10" ht="13" x14ac:dyDescent="0.15">
      <c r="A44" s="1">
        <v>43</v>
      </c>
      <c r="B44" s="1">
        <v>4</v>
      </c>
      <c r="C44" s="1" t="s">
        <v>139</v>
      </c>
      <c r="D44" s="1" t="s">
        <v>140</v>
      </c>
      <c r="E44" s="1" t="s">
        <v>126</v>
      </c>
      <c r="F44">
        <v>12</v>
      </c>
      <c r="G44" t="s">
        <v>1247</v>
      </c>
      <c r="H44" t="s">
        <v>1248</v>
      </c>
      <c r="I44" t="s">
        <v>1142</v>
      </c>
      <c r="J44">
        <v>9</v>
      </c>
    </row>
    <row r="45" spans="1:10" ht="13" x14ac:dyDescent="0.15">
      <c r="A45" s="1">
        <v>44</v>
      </c>
      <c r="B45" s="1">
        <v>4</v>
      </c>
      <c r="C45" s="1" t="s">
        <v>170</v>
      </c>
      <c r="D45" s="1" t="s">
        <v>171</v>
      </c>
      <c r="E45" s="1" t="s">
        <v>128</v>
      </c>
      <c r="F45">
        <v>14</v>
      </c>
      <c r="G45" t="s">
        <v>1247</v>
      </c>
      <c r="H45" t="s">
        <v>1248</v>
      </c>
      <c r="I45" t="s">
        <v>1143</v>
      </c>
      <c r="J45">
        <v>2</v>
      </c>
    </row>
    <row r="46" spans="1:10" ht="13" x14ac:dyDescent="0.15">
      <c r="A46" s="1">
        <v>45</v>
      </c>
      <c r="B46" s="1">
        <v>4</v>
      </c>
      <c r="C46" s="1" t="s">
        <v>131</v>
      </c>
      <c r="D46" s="1" t="s">
        <v>132</v>
      </c>
      <c r="E46" s="1" t="s">
        <v>133</v>
      </c>
      <c r="F46">
        <v>5</v>
      </c>
      <c r="G46" t="s">
        <v>1247</v>
      </c>
      <c r="H46" t="s">
        <v>1248</v>
      </c>
      <c r="I46" t="s">
        <v>1143</v>
      </c>
      <c r="J46">
        <v>3</v>
      </c>
    </row>
    <row r="47" spans="1:10" ht="13" x14ac:dyDescent="0.15">
      <c r="A47" s="1">
        <v>46</v>
      </c>
      <c r="B47" s="1">
        <v>4</v>
      </c>
      <c r="C47" s="1" t="s">
        <v>109</v>
      </c>
      <c r="D47" s="1" t="s">
        <v>98</v>
      </c>
      <c r="E47" s="1" t="s">
        <v>136</v>
      </c>
      <c r="F47">
        <v>9</v>
      </c>
      <c r="G47" t="s">
        <v>1247</v>
      </c>
      <c r="H47" t="s">
        <v>1248</v>
      </c>
      <c r="I47" t="s">
        <v>1145</v>
      </c>
      <c r="J47">
        <v>-8</v>
      </c>
    </row>
    <row r="48" spans="1:10" ht="13" x14ac:dyDescent="0.15">
      <c r="A48" s="1">
        <v>47</v>
      </c>
      <c r="B48" s="1">
        <v>4</v>
      </c>
      <c r="C48" s="1" t="s">
        <v>134</v>
      </c>
      <c r="D48" s="1" t="s">
        <v>135</v>
      </c>
      <c r="E48" s="1" t="s">
        <v>138</v>
      </c>
      <c r="F48">
        <v>14</v>
      </c>
      <c r="G48" t="s">
        <v>1247</v>
      </c>
      <c r="H48" t="s">
        <v>1248</v>
      </c>
      <c r="I48" t="s">
        <v>1143</v>
      </c>
      <c r="J48">
        <v>-3</v>
      </c>
    </row>
    <row r="49" spans="1:10" ht="13" x14ac:dyDescent="0.15">
      <c r="A49" s="1">
        <v>48</v>
      </c>
      <c r="B49" s="1">
        <v>4</v>
      </c>
      <c r="C49" s="1" t="s">
        <v>129</v>
      </c>
      <c r="D49" s="1" t="s">
        <v>17</v>
      </c>
      <c r="E49" s="1" t="s">
        <v>130</v>
      </c>
      <c r="F49">
        <v>10</v>
      </c>
      <c r="G49" t="s">
        <v>1247</v>
      </c>
      <c r="H49" t="s">
        <v>1248</v>
      </c>
      <c r="I49" t="s">
        <v>1144</v>
      </c>
      <c r="J49">
        <v>-12</v>
      </c>
    </row>
    <row r="50" spans="1:10" ht="13" x14ac:dyDescent="0.15">
      <c r="A50" s="1">
        <v>49</v>
      </c>
      <c r="B50" s="1">
        <v>5</v>
      </c>
      <c r="C50" s="1" t="s">
        <v>137</v>
      </c>
      <c r="D50" s="1" t="s">
        <v>79</v>
      </c>
      <c r="E50" s="1" t="s">
        <v>149</v>
      </c>
      <c r="F50">
        <v>8</v>
      </c>
      <c r="G50" t="s">
        <v>1247</v>
      </c>
      <c r="H50" t="s">
        <v>1248</v>
      </c>
      <c r="I50" t="s">
        <v>1142</v>
      </c>
      <c r="J50">
        <v>-2</v>
      </c>
    </row>
    <row r="51" spans="1:10" ht="13" x14ac:dyDescent="0.15">
      <c r="A51" s="1">
        <v>50</v>
      </c>
      <c r="B51" s="1">
        <v>5</v>
      </c>
      <c r="C51" s="1" t="s">
        <v>161</v>
      </c>
      <c r="D51" s="1" t="s">
        <v>135</v>
      </c>
      <c r="E51" s="1" t="s">
        <v>141</v>
      </c>
      <c r="F51">
        <v>14</v>
      </c>
      <c r="G51" t="s">
        <v>1247</v>
      </c>
      <c r="H51" t="s">
        <v>1248</v>
      </c>
      <c r="I51" t="s">
        <v>1143</v>
      </c>
      <c r="J51">
        <v>8</v>
      </c>
    </row>
    <row r="52" spans="1:10" ht="13" x14ac:dyDescent="0.15">
      <c r="A52" s="1">
        <v>51</v>
      </c>
      <c r="B52" s="1">
        <v>5</v>
      </c>
      <c r="C52" s="1" t="s">
        <v>124</v>
      </c>
      <c r="D52" s="1" t="s">
        <v>125</v>
      </c>
      <c r="E52" s="1" t="s">
        <v>143</v>
      </c>
      <c r="F52">
        <v>5</v>
      </c>
      <c r="G52" t="s">
        <v>1247</v>
      </c>
      <c r="H52" t="s">
        <v>1248</v>
      </c>
      <c r="I52" t="s">
        <v>1144</v>
      </c>
      <c r="J52">
        <v>2</v>
      </c>
    </row>
    <row r="53" spans="1:10" ht="13" x14ac:dyDescent="0.15">
      <c r="A53" s="1">
        <v>52</v>
      </c>
      <c r="B53" s="1">
        <v>5</v>
      </c>
      <c r="C53" s="1" t="s">
        <v>142</v>
      </c>
      <c r="D53" s="1" t="s">
        <v>23</v>
      </c>
      <c r="E53" s="1" t="s">
        <v>145</v>
      </c>
      <c r="F53">
        <v>9</v>
      </c>
      <c r="G53" t="s">
        <v>1247</v>
      </c>
      <c r="H53" t="s">
        <v>1248</v>
      </c>
      <c r="I53" t="s">
        <v>1142</v>
      </c>
      <c r="J53">
        <v>3</v>
      </c>
    </row>
    <row r="54" spans="1:10" ht="13" x14ac:dyDescent="0.15">
      <c r="A54" s="1">
        <v>53</v>
      </c>
      <c r="B54" s="1">
        <v>5</v>
      </c>
      <c r="C54" s="1" t="s">
        <v>146</v>
      </c>
      <c r="D54" s="1" t="s">
        <v>29</v>
      </c>
      <c r="E54" s="1" t="s">
        <v>147</v>
      </c>
      <c r="F54">
        <v>8</v>
      </c>
      <c r="G54" t="s">
        <v>1247</v>
      </c>
      <c r="H54" t="s">
        <v>1248</v>
      </c>
      <c r="I54" t="s">
        <v>1142</v>
      </c>
      <c r="J54">
        <v>10</v>
      </c>
    </row>
    <row r="55" spans="1:10" ht="13" x14ac:dyDescent="0.15">
      <c r="A55" s="1">
        <v>54</v>
      </c>
      <c r="B55" s="1">
        <v>5</v>
      </c>
      <c r="C55" s="1" t="s">
        <v>150</v>
      </c>
      <c r="D55" s="1" t="s">
        <v>151</v>
      </c>
      <c r="E55" s="1" t="s">
        <v>152</v>
      </c>
      <c r="F55">
        <v>10</v>
      </c>
      <c r="G55" t="s">
        <v>1247</v>
      </c>
      <c r="H55" t="s">
        <v>1248</v>
      </c>
      <c r="I55" t="s">
        <v>1142</v>
      </c>
      <c r="J55">
        <v>2</v>
      </c>
    </row>
    <row r="56" spans="1:10" ht="13" x14ac:dyDescent="0.15">
      <c r="A56" s="1">
        <v>55</v>
      </c>
      <c r="B56" s="1">
        <v>5</v>
      </c>
      <c r="C56" s="1" t="s">
        <v>163</v>
      </c>
      <c r="D56" s="1" t="s">
        <v>164</v>
      </c>
      <c r="E56" s="1" t="s">
        <v>154</v>
      </c>
      <c r="F56">
        <v>10</v>
      </c>
      <c r="G56" t="s">
        <v>1247</v>
      </c>
      <c r="H56" t="s">
        <v>1248</v>
      </c>
      <c r="I56" t="s">
        <v>1143</v>
      </c>
      <c r="J56">
        <v>11</v>
      </c>
    </row>
    <row r="57" spans="1:10" ht="13" x14ac:dyDescent="0.15">
      <c r="A57" s="1">
        <v>56</v>
      </c>
      <c r="B57" s="1">
        <v>5</v>
      </c>
      <c r="C57" s="1" t="s">
        <v>168</v>
      </c>
      <c r="D57" s="1" t="s">
        <v>32</v>
      </c>
      <c r="E57" s="1" t="s">
        <v>158</v>
      </c>
      <c r="F57">
        <v>10</v>
      </c>
      <c r="G57" t="s">
        <v>1247</v>
      </c>
      <c r="H57" t="s">
        <v>1248</v>
      </c>
      <c r="I57" t="s">
        <v>1144</v>
      </c>
      <c r="J57">
        <v>4</v>
      </c>
    </row>
    <row r="58" spans="1:10" ht="13" x14ac:dyDescent="0.15">
      <c r="A58" s="1">
        <v>57</v>
      </c>
      <c r="B58" s="1">
        <v>5</v>
      </c>
      <c r="C58" s="1" t="s">
        <v>175</v>
      </c>
      <c r="D58" s="1" t="s">
        <v>164</v>
      </c>
      <c r="E58" s="1" t="s">
        <v>156</v>
      </c>
      <c r="F58">
        <v>10</v>
      </c>
      <c r="G58" t="s">
        <v>1247</v>
      </c>
      <c r="H58" t="s">
        <v>1248</v>
      </c>
      <c r="I58" t="s">
        <v>1144</v>
      </c>
      <c r="J58">
        <v>0</v>
      </c>
    </row>
    <row r="59" spans="1:10" ht="13" x14ac:dyDescent="0.15">
      <c r="A59" s="1">
        <v>58</v>
      </c>
      <c r="B59" s="1">
        <v>5</v>
      </c>
      <c r="C59" s="1" t="s">
        <v>155</v>
      </c>
      <c r="D59" s="1" t="s">
        <v>125</v>
      </c>
      <c r="E59" s="1" t="s">
        <v>167</v>
      </c>
      <c r="F59">
        <v>5</v>
      </c>
      <c r="G59" t="s">
        <v>1247</v>
      </c>
      <c r="H59" t="s">
        <v>1248</v>
      </c>
      <c r="I59" t="s">
        <v>1143</v>
      </c>
      <c r="J59">
        <v>3</v>
      </c>
    </row>
    <row r="60" spans="1:10" ht="13" x14ac:dyDescent="0.15">
      <c r="A60" s="1">
        <v>59</v>
      </c>
      <c r="B60" s="1">
        <v>5</v>
      </c>
      <c r="C60" s="1" t="s">
        <v>157</v>
      </c>
      <c r="D60" s="1" t="s">
        <v>58</v>
      </c>
      <c r="E60" s="1" t="s">
        <v>162</v>
      </c>
      <c r="F60">
        <v>12</v>
      </c>
      <c r="G60" t="s">
        <v>1247</v>
      </c>
      <c r="H60" t="s">
        <v>1248</v>
      </c>
      <c r="I60" t="s">
        <v>1142</v>
      </c>
      <c r="J60">
        <v>10</v>
      </c>
    </row>
    <row r="61" spans="1:10" ht="13" x14ac:dyDescent="0.15">
      <c r="A61" s="1">
        <v>60</v>
      </c>
      <c r="B61" s="1">
        <v>5</v>
      </c>
      <c r="C61" s="1" t="s">
        <v>177</v>
      </c>
      <c r="D61" s="1" t="s">
        <v>140</v>
      </c>
      <c r="E61" s="1" t="s">
        <v>172</v>
      </c>
      <c r="F61">
        <v>12</v>
      </c>
      <c r="G61" t="s">
        <v>1247</v>
      </c>
      <c r="H61" t="s">
        <v>1248</v>
      </c>
      <c r="I61" t="s">
        <v>1144</v>
      </c>
      <c r="J61">
        <v>-10</v>
      </c>
    </row>
    <row r="62" spans="1:10" ht="13" x14ac:dyDescent="0.15">
      <c r="A62" s="1">
        <v>61</v>
      </c>
      <c r="B62" s="1">
        <v>5</v>
      </c>
      <c r="C62" s="1" t="s">
        <v>179</v>
      </c>
      <c r="D62" s="1" t="s">
        <v>151</v>
      </c>
      <c r="E62" s="1" t="s">
        <v>176</v>
      </c>
      <c r="F62">
        <v>10</v>
      </c>
      <c r="G62" t="s">
        <v>1247</v>
      </c>
      <c r="H62" t="s">
        <v>1248</v>
      </c>
      <c r="I62" t="s">
        <v>1144</v>
      </c>
      <c r="J62">
        <v>-2</v>
      </c>
    </row>
    <row r="63" spans="1:10" ht="13" x14ac:dyDescent="0.15">
      <c r="A63" s="1">
        <v>62</v>
      </c>
      <c r="B63" s="1">
        <v>5</v>
      </c>
      <c r="C63" s="1" t="s">
        <v>148</v>
      </c>
      <c r="D63" s="1" t="s">
        <v>29</v>
      </c>
      <c r="E63" s="1" t="s">
        <v>178</v>
      </c>
      <c r="F63">
        <v>8</v>
      </c>
      <c r="G63" t="s">
        <v>1247</v>
      </c>
      <c r="H63" t="s">
        <v>1248</v>
      </c>
      <c r="I63" t="s">
        <v>1144</v>
      </c>
      <c r="J63">
        <v>-8</v>
      </c>
    </row>
    <row r="64" spans="1:10" ht="13" x14ac:dyDescent="0.15">
      <c r="A64" s="1">
        <v>63</v>
      </c>
      <c r="B64" s="1">
        <v>5</v>
      </c>
      <c r="C64" s="1" t="s">
        <v>144</v>
      </c>
      <c r="D64" s="1" t="s">
        <v>55</v>
      </c>
      <c r="E64" s="1" t="s">
        <v>165</v>
      </c>
      <c r="F64">
        <v>7</v>
      </c>
      <c r="G64" t="s">
        <v>1247</v>
      </c>
      <c r="H64" t="s">
        <v>1248</v>
      </c>
      <c r="I64" t="s">
        <v>1142</v>
      </c>
      <c r="J64">
        <v>1</v>
      </c>
    </row>
    <row r="65" spans="1:10" ht="13" x14ac:dyDescent="0.15">
      <c r="A65" s="1">
        <v>64</v>
      </c>
      <c r="B65" s="1">
        <v>5</v>
      </c>
      <c r="C65" s="1" t="s">
        <v>159</v>
      </c>
      <c r="D65" s="1" t="s">
        <v>29</v>
      </c>
      <c r="E65" s="1" t="s">
        <v>160</v>
      </c>
      <c r="F65">
        <v>8</v>
      </c>
      <c r="G65" t="s">
        <v>1247</v>
      </c>
      <c r="H65" t="s">
        <v>1248</v>
      </c>
      <c r="I65" t="s">
        <v>1142</v>
      </c>
      <c r="J65">
        <v>-13</v>
      </c>
    </row>
    <row r="66" spans="1:10" ht="13" x14ac:dyDescent="0.15">
      <c r="A66" s="1">
        <v>65</v>
      </c>
      <c r="B66" s="1">
        <v>5</v>
      </c>
      <c r="C66" s="1" t="s">
        <v>173</v>
      </c>
      <c r="D66" s="1" t="s">
        <v>151</v>
      </c>
      <c r="E66" s="1" t="s">
        <v>174</v>
      </c>
      <c r="F66">
        <v>10</v>
      </c>
      <c r="G66" t="s">
        <v>1247</v>
      </c>
      <c r="H66" t="s">
        <v>1248</v>
      </c>
      <c r="I66" t="s">
        <v>1142</v>
      </c>
      <c r="J66">
        <v>-16</v>
      </c>
    </row>
    <row r="67" spans="1:10" ht="13" x14ac:dyDescent="0.15">
      <c r="A67" s="1">
        <v>66</v>
      </c>
      <c r="B67" s="1">
        <v>5</v>
      </c>
      <c r="C67" s="1" t="s">
        <v>166</v>
      </c>
      <c r="D67" s="1" t="s">
        <v>26</v>
      </c>
      <c r="E67" s="1" t="s">
        <v>180</v>
      </c>
      <c r="F67">
        <v>6</v>
      </c>
      <c r="G67" t="s">
        <v>1247</v>
      </c>
      <c r="H67" t="s">
        <v>1248</v>
      </c>
      <c r="I67" t="s">
        <v>1142</v>
      </c>
      <c r="J67">
        <v>1</v>
      </c>
    </row>
    <row r="68" spans="1:10" ht="13" x14ac:dyDescent="0.15">
      <c r="A68" s="1">
        <v>67</v>
      </c>
      <c r="B68" s="1">
        <v>6</v>
      </c>
      <c r="C68" s="1" t="s">
        <v>191</v>
      </c>
      <c r="D68" s="1" t="s">
        <v>46</v>
      </c>
      <c r="E68" s="1" t="s">
        <v>169</v>
      </c>
      <c r="F68">
        <v>8</v>
      </c>
      <c r="G68" t="s">
        <v>1247</v>
      </c>
      <c r="H68" t="s">
        <v>1248</v>
      </c>
      <c r="I68" t="s">
        <v>1143</v>
      </c>
      <c r="J68">
        <v>4</v>
      </c>
    </row>
    <row r="69" spans="1:10" ht="13" x14ac:dyDescent="0.15">
      <c r="A69" s="1">
        <v>68</v>
      </c>
      <c r="B69" s="1">
        <v>6</v>
      </c>
      <c r="C69" s="1" t="s">
        <v>187</v>
      </c>
      <c r="D69" s="1" t="s">
        <v>26</v>
      </c>
      <c r="E69" s="1" t="s">
        <v>188</v>
      </c>
      <c r="F69">
        <v>6</v>
      </c>
      <c r="G69" t="s">
        <v>1247</v>
      </c>
      <c r="H69" t="s">
        <v>1248</v>
      </c>
      <c r="I69" t="s">
        <v>1142</v>
      </c>
      <c r="J69">
        <v>-3</v>
      </c>
    </row>
    <row r="70" spans="1:10" ht="13" x14ac:dyDescent="0.15">
      <c r="A70" s="1">
        <v>69</v>
      </c>
      <c r="B70" s="1">
        <v>6</v>
      </c>
      <c r="C70" s="1" t="s">
        <v>181</v>
      </c>
      <c r="D70" s="1" t="s">
        <v>122</v>
      </c>
      <c r="E70" s="1" t="s">
        <v>182</v>
      </c>
      <c r="F70">
        <v>11</v>
      </c>
      <c r="G70" t="s">
        <v>1247</v>
      </c>
      <c r="H70" t="s">
        <v>1248</v>
      </c>
      <c r="I70" t="s">
        <v>1143</v>
      </c>
      <c r="J70">
        <v>7</v>
      </c>
    </row>
    <row r="71" spans="1:10" ht="13" x14ac:dyDescent="0.15">
      <c r="A71" s="1">
        <v>70</v>
      </c>
      <c r="B71" s="1">
        <v>6</v>
      </c>
      <c r="C71" s="1" t="s">
        <v>200</v>
      </c>
      <c r="D71" s="1" t="s">
        <v>125</v>
      </c>
      <c r="E71" s="1" t="s">
        <v>192</v>
      </c>
      <c r="F71">
        <v>5</v>
      </c>
      <c r="G71" t="s">
        <v>1247</v>
      </c>
      <c r="H71" t="s">
        <v>1248</v>
      </c>
      <c r="I71" t="s">
        <v>1144</v>
      </c>
      <c r="J71">
        <v>8</v>
      </c>
    </row>
    <row r="72" spans="1:10" ht="13" x14ac:dyDescent="0.15">
      <c r="A72" s="1">
        <v>71</v>
      </c>
      <c r="B72" s="1">
        <v>6</v>
      </c>
      <c r="C72" s="1" t="s">
        <v>185</v>
      </c>
      <c r="D72" s="1" t="s">
        <v>73</v>
      </c>
      <c r="E72" s="1" t="s">
        <v>186</v>
      </c>
      <c r="F72">
        <v>9</v>
      </c>
      <c r="G72" t="s">
        <v>1247</v>
      </c>
      <c r="H72" t="s">
        <v>1248</v>
      </c>
      <c r="I72" t="s">
        <v>1144</v>
      </c>
      <c r="J72">
        <v>-3</v>
      </c>
    </row>
    <row r="73" spans="1:10" ht="13" x14ac:dyDescent="0.15">
      <c r="A73" s="1">
        <v>72</v>
      </c>
      <c r="B73" s="1">
        <v>6</v>
      </c>
      <c r="C73" s="1" t="s">
        <v>223</v>
      </c>
      <c r="D73" s="1" t="s">
        <v>38</v>
      </c>
      <c r="E73" s="1" t="s">
        <v>184</v>
      </c>
      <c r="F73">
        <v>14</v>
      </c>
      <c r="G73" t="s">
        <v>1247</v>
      </c>
      <c r="H73" t="s">
        <v>1248</v>
      </c>
      <c r="I73" t="s">
        <v>1142</v>
      </c>
      <c r="J73">
        <v>2</v>
      </c>
    </row>
    <row r="74" spans="1:10" ht="13" x14ac:dyDescent="0.15">
      <c r="A74" s="1">
        <v>73</v>
      </c>
      <c r="B74" s="1">
        <v>6</v>
      </c>
      <c r="C74" s="1" t="s">
        <v>198</v>
      </c>
      <c r="D74" s="1" t="s">
        <v>140</v>
      </c>
      <c r="E74" s="1" t="s">
        <v>199</v>
      </c>
      <c r="F74">
        <v>12</v>
      </c>
      <c r="G74" t="s">
        <v>1247</v>
      </c>
      <c r="H74" t="s">
        <v>1248</v>
      </c>
      <c r="I74" t="s">
        <v>1143</v>
      </c>
      <c r="J74">
        <v>-3</v>
      </c>
    </row>
    <row r="75" spans="1:10" ht="13" x14ac:dyDescent="0.15">
      <c r="A75" s="1">
        <v>74</v>
      </c>
      <c r="B75" s="1">
        <v>6</v>
      </c>
      <c r="C75" s="1" t="s">
        <v>243</v>
      </c>
      <c r="D75" s="1" t="s">
        <v>49</v>
      </c>
      <c r="E75" s="1" t="s">
        <v>195</v>
      </c>
      <c r="F75">
        <v>14</v>
      </c>
      <c r="G75" t="s">
        <v>1247</v>
      </c>
      <c r="H75" t="s">
        <v>1248</v>
      </c>
      <c r="I75" t="s">
        <v>1143</v>
      </c>
      <c r="J75">
        <v>5</v>
      </c>
    </row>
    <row r="76" spans="1:10" ht="13" x14ac:dyDescent="0.15">
      <c r="A76" s="1">
        <v>75</v>
      </c>
      <c r="B76" s="1">
        <v>6</v>
      </c>
      <c r="C76" s="1" t="s">
        <v>287</v>
      </c>
      <c r="D76" s="1" t="s">
        <v>73</v>
      </c>
      <c r="E76" s="1" t="s">
        <v>201</v>
      </c>
      <c r="F76">
        <v>9</v>
      </c>
      <c r="G76" t="s">
        <v>1247</v>
      </c>
      <c r="H76" t="s">
        <v>1248</v>
      </c>
      <c r="I76" t="s">
        <v>1142</v>
      </c>
      <c r="J76">
        <v>5</v>
      </c>
    </row>
    <row r="77" spans="1:10" ht="13" x14ac:dyDescent="0.15">
      <c r="A77" s="1">
        <v>76</v>
      </c>
      <c r="B77" s="1">
        <v>6</v>
      </c>
      <c r="C77" s="1" t="s">
        <v>193</v>
      </c>
      <c r="D77" s="1" t="s">
        <v>194</v>
      </c>
      <c r="E77" s="1" t="s">
        <v>209</v>
      </c>
      <c r="F77">
        <v>9</v>
      </c>
      <c r="G77" t="s">
        <v>1247</v>
      </c>
      <c r="H77" t="s">
        <v>1248</v>
      </c>
      <c r="I77" t="s">
        <v>1144</v>
      </c>
      <c r="J77">
        <v>1</v>
      </c>
    </row>
    <row r="78" spans="1:10" ht="13" x14ac:dyDescent="0.15">
      <c r="A78" s="1">
        <v>77</v>
      </c>
      <c r="B78" s="1">
        <v>6</v>
      </c>
      <c r="C78" s="1" t="s">
        <v>213</v>
      </c>
      <c r="D78" s="1" t="s">
        <v>132</v>
      </c>
      <c r="E78" s="1" t="s">
        <v>190</v>
      </c>
      <c r="F78">
        <v>5</v>
      </c>
      <c r="G78" t="s">
        <v>1247</v>
      </c>
      <c r="H78" t="s">
        <v>1248</v>
      </c>
      <c r="I78" t="s">
        <v>1142</v>
      </c>
      <c r="J78">
        <v>4</v>
      </c>
    </row>
    <row r="79" spans="1:10" ht="13" x14ac:dyDescent="0.15">
      <c r="A79" s="1">
        <v>78</v>
      </c>
      <c r="B79" s="1">
        <v>6</v>
      </c>
      <c r="C79" s="1" t="s">
        <v>206</v>
      </c>
      <c r="D79" s="1" t="s">
        <v>151</v>
      </c>
      <c r="E79" s="1" t="s">
        <v>205</v>
      </c>
      <c r="F79">
        <v>10</v>
      </c>
      <c r="G79" t="s">
        <v>1247</v>
      </c>
      <c r="H79" t="s">
        <v>1248</v>
      </c>
      <c r="I79" t="s">
        <v>1142</v>
      </c>
      <c r="J79">
        <v>-16</v>
      </c>
    </row>
    <row r="80" spans="1:10" ht="13" x14ac:dyDescent="0.15">
      <c r="A80" s="1">
        <v>79</v>
      </c>
      <c r="B80" s="1">
        <v>6</v>
      </c>
      <c r="C80" s="1" t="s">
        <v>153</v>
      </c>
      <c r="D80" s="1" t="s">
        <v>151</v>
      </c>
      <c r="E80" s="1" t="s">
        <v>211</v>
      </c>
      <c r="F80">
        <v>10</v>
      </c>
      <c r="G80" t="s">
        <v>1247</v>
      </c>
      <c r="H80" t="s">
        <v>1248</v>
      </c>
      <c r="I80" t="s">
        <v>1142</v>
      </c>
      <c r="J80">
        <v>-7</v>
      </c>
    </row>
    <row r="81" spans="1:10" ht="13" x14ac:dyDescent="0.15">
      <c r="A81" s="1">
        <v>80</v>
      </c>
      <c r="B81" s="1">
        <v>6</v>
      </c>
      <c r="C81" s="1" t="s">
        <v>204</v>
      </c>
      <c r="D81" s="1" t="s">
        <v>55</v>
      </c>
      <c r="E81" s="1" t="s">
        <v>207</v>
      </c>
      <c r="F81">
        <v>7</v>
      </c>
      <c r="G81" t="s">
        <v>1247</v>
      </c>
      <c r="H81" t="s">
        <v>1248</v>
      </c>
      <c r="I81" t="s">
        <v>1142</v>
      </c>
      <c r="J81">
        <v>-7</v>
      </c>
    </row>
    <row r="82" spans="1:10" ht="13" x14ac:dyDescent="0.15">
      <c r="A82" s="1">
        <v>81</v>
      </c>
      <c r="B82" s="1">
        <v>6</v>
      </c>
      <c r="C82" s="1" t="s">
        <v>227</v>
      </c>
      <c r="D82" s="1" t="s">
        <v>171</v>
      </c>
      <c r="E82" s="1" t="s">
        <v>212</v>
      </c>
      <c r="F82">
        <v>14</v>
      </c>
      <c r="G82" t="s">
        <v>1247</v>
      </c>
      <c r="H82" t="s">
        <v>1248</v>
      </c>
      <c r="I82" t="s">
        <v>1142</v>
      </c>
      <c r="J82">
        <v>4</v>
      </c>
    </row>
    <row r="83" spans="1:10" ht="13" x14ac:dyDescent="0.15">
      <c r="A83" s="1">
        <v>82</v>
      </c>
      <c r="B83" s="1">
        <v>6</v>
      </c>
      <c r="C83" s="1" t="s">
        <v>229</v>
      </c>
      <c r="D83" s="1" t="s">
        <v>32</v>
      </c>
      <c r="E83" s="1" t="s">
        <v>203</v>
      </c>
      <c r="F83">
        <v>10</v>
      </c>
      <c r="G83" t="s">
        <v>1247</v>
      </c>
      <c r="H83" t="s">
        <v>1248</v>
      </c>
      <c r="I83" t="s">
        <v>1144</v>
      </c>
      <c r="J83">
        <v>6</v>
      </c>
    </row>
    <row r="84" spans="1:10" ht="13" x14ac:dyDescent="0.15">
      <c r="A84" s="1">
        <v>83</v>
      </c>
      <c r="B84" s="1">
        <v>6</v>
      </c>
      <c r="C84" s="1" t="s">
        <v>202</v>
      </c>
      <c r="D84" s="1" t="s">
        <v>79</v>
      </c>
      <c r="E84" s="1" t="s">
        <v>218</v>
      </c>
      <c r="F84">
        <v>8</v>
      </c>
      <c r="G84" t="s">
        <v>1247</v>
      </c>
      <c r="H84" t="s">
        <v>1248</v>
      </c>
      <c r="I84" t="s">
        <v>1143</v>
      </c>
      <c r="J84">
        <v>8</v>
      </c>
    </row>
    <row r="85" spans="1:10" ht="13" x14ac:dyDescent="0.15">
      <c r="A85" s="1">
        <v>84</v>
      </c>
      <c r="B85" s="1">
        <v>6</v>
      </c>
      <c r="C85" s="1" t="s">
        <v>189</v>
      </c>
      <c r="D85" s="1" t="s">
        <v>132</v>
      </c>
      <c r="E85" s="1" t="s">
        <v>197</v>
      </c>
      <c r="F85">
        <v>5</v>
      </c>
      <c r="G85" t="s">
        <v>1247</v>
      </c>
      <c r="H85" t="s">
        <v>1248</v>
      </c>
      <c r="I85" t="s">
        <v>1142</v>
      </c>
      <c r="J85">
        <v>-9</v>
      </c>
    </row>
    <row r="86" spans="1:10" ht="13" x14ac:dyDescent="0.15">
      <c r="A86" s="1">
        <v>85</v>
      </c>
      <c r="B86" s="1">
        <v>6</v>
      </c>
      <c r="C86" s="1" t="s">
        <v>253</v>
      </c>
      <c r="D86" s="1" t="s">
        <v>26</v>
      </c>
      <c r="E86" s="1" t="s">
        <v>214</v>
      </c>
      <c r="F86">
        <v>6</v>
      </c>
      <c r="G86" t="s">
        <v>1247</v>
      </c>
      <c r="H86" t="s">
        <v>1248</v>
      </c>
      <c r="I86" t="s">
        <v>1142</v>
      </c>
      <c r="J86">
        <v>-1</v>
      </c>
    </row>
    <row r="87" spans="1:10" ht="13" x14ac:dyDescent="0.15">
      <c r="A87" s="1">
        <v>86</v>
      </c>
      <c r="B87" s="1">
        <v>6</v>
      </c>
      <c r="C87" s="1" t="s">
        <v>233</v>
      </c>
      <c r="D87" s="1" t="s">
        <v>46</v>
      </c>
      <c r="E87" s="1" t="s">
        <v>224</v>
      </c>
      <c r="F87">
        <v>8</v>
      </c>
      <c r="G87" t="s">
        <v>1247</v>
      </c>
      <c r="H87" t="s">
        <v>1248</v>
      </c>
      <c r="I87" t="s">
        <v>1144</v>
      </c>
      <c r="J87">
        <v>3</v>
      </c>
    </row>
    <row r="88" spans="1:10" ht="13" x14ac:dyDescent="0.15">
      <c r="A88" s="1">
        <v>87</v>
      </c>
      <c r="B88" s="1">
        <v>6</v>
      </c>
      <c r="C88" s="1" t="s">
        <v>215</v>
      </c>
      <c r="D88" s="1" t="s">
        <v>194</v>
      </c>
      <c r="E88" s="1" t="s">
        <v>216</v>
      </c>
      <c r="F88">
        <v>9</v>
      </c>
      <c r="G88" t="s">
        <v>1247</v>
      </c>
      <c r="H88" t="s">
        <v>1248</v>
      </c>
      <c r="I88" t="s">
        <v>1142</v>
      </c>
      <c r="J88">
        <v>0</v>
      </c>
    </row>
    <row r="89" spans="1:10" ht="13" x14ac:dyDescent="0.15">
      <c r="A89" s="1">
        <v>88</v>
      </c>
      <c r="B89" s="1">
        <v>6</v>
      </c>
      <c r="C89" s="1" t="s">
        <v>210</v>
      </c>
      <c r="D89" s="1" t="s">
        <v>52</v>
      </c>
      <c r="E89" s="1" t="s">
        <v>222</v>
      </c>
      <c r="F89">
        <v>8</v>
      </c>
      <c r="G89" t="s">
        <v>1247</v>
      </c>
      <c r="H89" t="s">
        <v>1248</v>
      </c>
      <c r="I89" t="s">
        <v>1143</v>
      </c>
      <c r="J89">
        <v>2</v>
      </c>
    </row>
    <row r="90" spans="1:10" ht="13" x14ac:dyDescent="0.15">
      <c r="A90" s="1">
        <v>89</v>
      </c>
      <c r="B90" s="1">
        <v>6</v>
      </c>
      <c r="C90" s="1" t="s">
        <v>241</v>
      </c>
      <c r="D90" s="1" t="s">
        <v>103</v>
      </c>
      <c r="E90" s="1" t="s">
        <v>228</v>
      </c>
      <c r="F90">
        <v>12</v>
      </c>
      <c r="G90" t="s">
        <v>1247</v>
      </c>
      <c r="H90" t="s">
        <v>1248</v>
      </c>
      <c r="I90" t="s">
        <v>1142</v>
      </c>
      <c r="J90">
        <v>-6</v>
      </c>
    </row>
    <row r="91" spans="1:10" ht="13" x14ac:dyDescent="0.15">
      <c r="A91" s="1">
        <v>90</v>
      </c>
      <c r="B91" s="1">
        <v>6</v>
      </c>
      <c r="C91" s="1" t="s">
        <v>263</v>
      </c>
      <c r="D91" s="1" t="s">
        <v>93</v>
      </c>
      <c r="E91" s="1" t="s">
        <v>234</v>
      </c>
      <c r="F91">
        <v>8</v>
      </c>
      <c r="G91" t="s">
        <v>1247</v>
      </c>
      <c r="H91" t="s">
        <v>1248</v>
      </c>
      <c r="I91" t="s">
        <v>1142</v>
      </c>
      <c r="J91">
        <v>3</v>
      </c>
    </row>
    <row r="92" spans="1:10" ht="13" x14ac:dyDescent="0.15">
      <c r="A92" s="1">
        <v>91</v>
      </c>
      <c r="B92" s="1">
        <v>6</v>
      </c>
      <c r="C92" s="1" t="s">
        <v>303</v>
      </c>
      <c r="D92" s="1" t="s">
        <v>70</v>
      </c>
      <c r="E92" s="1" t="s">
        <v>232</v>
      </c>
      <c r="F92">
        <v>5</v>
      </c>
      <c r="G92" t="s">
        <v>1247</v>
      </c>
      <c r="H92" t="s">
        <v>1248</v>
      </c>
      <c r="I92" t="s">
        <v>1144</v>
      </c>
      <c r="J92">
        <v>-5</v>
      </c>
    </row>
    <row r="93" spans="1:10" ht="13" x14ac:dyDescent="0.15">
      <c r="A93" s="1">
        <v>92</v>
      </c>
      <c r="B93" s="1">
        <v>6</v>
      </c>
      <c r="C93" s="1" t="s">
        <v>219</v>
      </c>
      <c r="D93" s="1" t="s">
        <v>140</v>
      </c>
      <c r="E93" s="1" t="s">
        <v>220</v>
      </c>
      <c r="F93">
        <v>12</v>
      </c>
      <c r="G93" t="s">
        <v>1247</v>
      </c>
      <c r="H93" t="s">
        <v>1248</v>
      </c>
      <c r="I93" t="s">
        <v>1142</v>
      </c>
      <c r="J93">
        <v>-10</v>
      </c>
    </row>
    <row r="94" spans="1:10" ht="13" x14ac:dyDescent="0.15">
      <c r="A94" s="1">
        <v>93</v>
      </c>
      <c r="B94" s="1">
        <v>6</v>
      </c>
      <c r="C94" s="1" t="s">
        <v>225</v>
      </c>
      <c r="D94" s="1" t="s">
        <v>49</v>
      </c>
      <c r="E94" s="1" t="s">
        <v>226</v>
      </c>
      <c r="F94">
        <v>14</v>
      </c>
      <c r="G94" t="s">
        <v>1247</v>
      </c>
      <c r="H94" t="s">
        <v>1248</v>
      </c>
      <c r="I94" t="s">
        <v>1143</v>
      </c>
      <c r="J94">
        <v>4</v>
      </c>
    </row>
    <row r="95" spans="1:10" ht="13" x14ac:dyDescent="0.15">
      <c r="A95" s="1">
        <v>94</v>
      </c>
      <c r="B95" s="1">
        <v>6</v>
      </c>
      <c r="C95" s="1" t="s">
        <v>297</v>
      </c>
      <c r="D95" s="1" t="s">
        <v>140</v>
      </c>
      <c r="E95" s="1" t="s">
        <v>252</v>
      </c>
      <c r="F95">
        <v>12</v>
      </c>
      <c r="G95" t="s">
        <v>1247</v>
      </c>
      <c r="H95" t="s">
        <v>1248</v>
      </c>
      <c r="I95" t="s">
        <v>1144</v>
      </c>
      <c r="J95">
        <v>4</v>
      </c>
    </row>
    <row r="96" spans="1:10" ht="13" x14ac:dyDescent="0.15">
      <c r="A96" s="1">
        <v>95</v>
      </c>
      <c r="B96" s="1">
        <v>6</v>
      </c>
      <c r="C96" s="1" t="s">
        <v>217</v>
      </c>
      <c r="D96" s="1" t="s">
        <v>98</v>
      </c>
      <c r="E96" s="1" t="s">
        <v>230</v>
      </c>
      <c r="F96">
        <v>9</v>
      </c>
      <c r="G96" t="s">
        <v>1247</v>
      </c>
      <c r="H96" t="s">
        <v>1248</v>
      </c>
      <c r="I96" t="s">
        <v>1145</v>
      </c>
      <c r="J96">
        <v>20</v>
      </c>
    </row>
    <row r="97" spans="1:10" ht="13" x14ac:dyDescent="0.15">
      <c r="A97" s="1">
        <v>96</v>
      </c>
      <c r="B97" s="1">
        <v>6</v>
      </c>
      <c r="C97" s="1" t="s">
        <v>208</v>
      </c>
      <c r="D97" s="1" t="s">
        <v>26</v>
      </c>
      <c r="E97" s="1" t="s">
        <v>236</v>
      </c>
      <c r="F97">
        <v>6</v>
      </c>
      <c r="G97" t="s">
        <v>1247</v>
      </c>
      <c r="H97" t="s">
        <v>1248</v>
      </c>
      <c r="I97" t="s">
        <v>1144</v>
      </c>
      <c r="J97">
        <v>0</v>
      </c>
    </row>
    <row r="98" spans="1:10" ht="13" x14ac:dyDescent="0.15">
      <c r="A98" s="1">
        <v>97</v>
      </c>
      <c r="B98" s="1">
        <v>6</v>
      </c>
      <c r="C98" s="1" t="s">
        <v>291</v>
      </c>
      <c r="D98" s="1" t="s">
        <v>67</v>
      </c>
      <c r="E98" s="1" t="s">
        <v>246</v>
      </c>
      <c r="F98">
        <v>11</v>
      </c>
      <c r="G98" t="s">
        <v>1247</v>
      </c>
      <c r="H98" t="s">
        <v>1248</v>
      </c>
      <c r="I98" t="s">
        <v>1142</v>
      </c>
      <c r="J98">
        <v>-5</v>
      </c>
    </row>
    <row r="99" spans="1:10" ht="13" x14ac:dyDescent="0.15">
      <c r="A99" s="1">
        <v>98</v>
      </c>
      <c r="B99" s="1">
        <v>7</v>
      </c>
      <c r="C99" s="1" t="s">
        <v>245</v>
      </c>
      <c r="D99" s="1" t="s">
        <v>70</v>
      </c>
      <c r="E99" s="1" t="s">
        <v>280</v>
      </c>
      <c r="F99">
        <v>5</v>
      </c>
      <c r="G99" t="s">
        <v>1247</v>
      </c>
      <c r="H99" t="s">
        <v>1248</v>
      </c>
      <c r="I99" t="s">
        <v>1144</v>
      </c>
      <c r="J99">
        <v>-3</v>
      </c>
    </row>
    <row r="100" spans="1:10" ht="13" x14ac:dyDescent="0.15">
      <c r="A100" s="1">
        <v>99</v>
      </c>
      <c r="B100" s="1">
        <v>7</v>
      </c>
      <c r="C100" s="1" t="s">
        <v>251</v>
      </c>
      <c r="D100" s="1" t="s">
        <v>32</v>
      </c>
      <c r="E100" s="1" t="s">
        <v>254</v>
      </c>
      <c r="F100">
        <v>10</v>
      </c>
      <c r="G100" t="s">
        <v>1247</v>
      </c>
      <c r="H100" t="s">
        <v>1248</v>
      </c>
      <c r="I100" t="s">
        <v>1144</v>
      </c>
      <c r="J100">
        <v>11</v>
      </c>
    </row>
    <row r="101" spans="1:10" ht="13" x14ac:dyDescent="0.15">
      <c r="A101" s="1">
        <v>100</v>
      </c>
      <c r="B101" s="1">
        <v>7</v>
      </c>
      <c r="C101" s="1" t="s">
        <v>221</v>
      </c>
      <c r="D101" s="1" t="s">
        <v>49</v>
      </c>
      <c r="E101" s="1" t="s">
        <v>242</v>
      </c>
      <c r="F101">
        <v>14</v>
      </c>
      <c r="G101" t="s">
        <v>1247</v>
      </c>
      <c r="H101" t="s">
        <v>1248</v>
      </c>
      <c r="I101" t="s">
        <v>1143</v>
      </c>
      <c r="J101">
        <v>3</v>
      </c>
    </row>
    <row r="102" spans="1:10" ht="13" x14ac:dyDescent="0.15">
      <c r="A102" s="1">
        <v>101</v>
      </c>
      <c r="B102" s="1">
        <v>7</v>
      </c>
      <c r="C102" s="1" t="s">
        <v>255</v>
      </c>
      <c r="D102" s="1" t="s">
        <v>171</v>
      </c>
      <c r="E102" s="1" t="s">
        <v>238</v>
      </c>
      <c r="F102">
        <v>14</v>
      </c>
      <c r="G102" t="s">
        <v>1247</v>
      </c>
      <c r="H102" t="s">
        <v>1248</v>
      </c>
      <c r="I102" t="s">
        <v>1145</v>
      </c>
      <c r="J102">
        <v>18</v>
      </c>
    </row>
    <row r="103" spans="1:10" ht="13" x14ac:dyDescent="0.15">
      <c r="A103" s="1">
        <v>102</v>
      </c>
      <c r="B103" s="1">
        <v>7</v>
      </c>
      <c r="C103" s="1" t="s">
        <v>231</v>
      </c>
      <c r="D103" s="1" t="s">
        <v>84</v>
      </c>
      <c r="E103" s="1" t="s">
        <v>244</v>
      </c>
      <c r="F103">
        <v>7</v>
      </c>
      <c r="G103" t="s">
        <v>1247</v>
      </c>
      <c r="H103" t="s">
        <v>1248</v>
      </c>
      <c r="I103" t="s">
        <v>1142</v>
      </c>
      <c r="J103">
        <v>4</v>
      </c>
    </row>
    <row r="104" spans="1:10" ht="13" x14ac:dyDescent="0.15">
      <c r="A104" s="1">
        <v>103</v>
      </c>
      <c r="B104" s="1">
        <v>7</v>
      </c>
      <c r="C104" s="1" t="s">
        <v>239</v>
      </c>
      <c r="D104" s="1" t="s">
        <v>125</v>
      </c>
      <c r="E104" s="1" t="s">
        <v>240</v>
      </c>
      <c r="F104">
        <v>5</v>
      </c>
      <c r="G104" t="s">
        <v>1247</v>
      </c>
      <c r="H104" t="s">
        <v>1248</v>
      </c>
      <c r="I104" t="s">
        <v>1144</v>
      </c>
      <c r="J104">
        <v>10</v>
      </c>
    </row>
    <row r="105" spans="1:10" ht="13" x14ac:dyDescent="0.15">
      <c r="A105" s="1">
        <v>104</v>
      </c>
      <c r="B105" s="1">
        <v>7</v>
      </c>
      <c r="C105" s="1" t="s">
        <v>237</v>
      </c>
      <c r="D105" s="1" t="s">
        <v>76</v>
      </c>
      <c r="E105" s="1" t="s">
        <v>250</v>
      </c>
      <c r="F105">
        <v>12</v>
      </c>
      <c r="G105" t="s">
        <v>1247</v>
      </c>
      <c r="H105" t="s">
        <v>1248</v>
      </c>
      <c r="I105" t="s">
        <v>1142</v>
      </c>
      <c r="J105">
        <v>5</v>
      </c>
    </row>
    <row r="106" spans="1:10" ht="13" x14ac:dyDescent="0.15">
      <c r="A106" s="1">
        <v>105</v>
      </c>
      <c r="B106" s="1">
        <v>7</v>
      </c>
      <c r="C106" s="1" t="s">
        <v>247</v>
      </c>
      <c r="D106" s="1" t="s">
        <v>67</v>
      </c>
      <c r="E106" s="1" t="s">
        <v>248</v>
      </c>
      <c r="F106">
        <v>11</v>
      </c>
      <c r="G106" t="s">
        <v>1247</v>
      </c>
      <c r="H106" t="s">
        <v>1248</v>
      </c>
      <c r="I106" t="s">
        <v>1143</v>
      </c>
      <c r="J106">
        <v>19</v>
      </c>
    </row>
    <row r="107" spans="1:10" ht="13" x14ac:dyDescent="0.15">
      <c r="A107" s="1">
        <v>106</v>
      </c>
      <c r="B107" s="1">
        <v>7</v>
      </c>
      <c r="C107" s="1" t="s">
        <v>271</v>
      </c>
      <c r="D107" s="1" t="s">
        <v>67</v>
      </c>
      <c r="E107" s="1" t="s">
        <v>268</v>
      </c>
      <c r="F107">
        <v>11</v>
      </c>
      <c r="G107" t="s">
        <v>1247</v>
      </c>
      <c r="H107" t="s">
        <v>1248</v>
      </c>
      <c r="I107" t="s">
        <v>1143</v>
      </c>
      <c r="J107">
        <v>14</v>
      </c>
    </row>
    <row r="108" spans="1:10" ht="13" x14ac:dyDescent="0.15">
      <c r="A108" s="1">
        <v>107</v>
      </c>
      <c r="B108" s="1">
        <v>7</v>
      </c>
      <c r="C108" s="1" t="s">
        <v>249</v>
      </c>
      <c r="D108" s="1" t="s">
        <v>29</v>
      </c>
      <c r="E108" s="1" t="s">
        <v>256</v>
      </c>
      <c r="F108">
        <v>8</v>
      </c>
      <c r="G108" t="s">
        <v>1247</v>
      </c>
      <c r="H108" t="s">
        <v>1248</v>
      </c>
      <c r="I108" t="s">
        <v>1144</v>
      </c>
      <c r="J108">
        <v>-5</v>
      </c>
    </row>
    <row r="109" spans="1:10" ht="13" x14ac:dyDescent="0.15">
      <c r="A109" s="1">
        <v>108</v>
      </c>
      <c r="B109" s="1">
        <v>7</v>
      </c>
      <c r="C109" s="1" t="s">
        <v>307</v>
      </c>
      <c r="D109" s="1" t="s">
        <v>103</v>
      </c>
      <c r="E109" s="1" t="s">
        <v>260</v>
      </c>
      <c r="F109">
        <v>12</v>
      </c>
      <c r="G109" t="s">
        <v>1247</v>
      </c>
      <c r="H109" t="s">
        <v>1248</v>
      </c>
      <c r="I109" t="s">
        <v>1144</v>
      </c>
      <c r="J109">
        <v>4</v>
      </c>
    </row>
    <row r="110" spans="1:10" ht="13" x14ac:dyDescent="0.15">
      <c r="A110" s="1">
        <v>109</v>
      </c>
      <c r="B110" s="1">
        <v>7</v>
      </c>
      <c r="C110" s="1" t="s">
        <v>277</v>
      </c>
      <c r="D110" s="1" t="s">
        <v>46</v>
      </c>
      <c r="E110" s="1" t="s">
        <v>262</v>
      </c>
      <c r="F110">
        <v>8</v>
      </c>
      <c r="G110" t="s">
        <v>1247</v>
      </c>
      <c r="H110" t="s">
        <v>1248</v>
      </c>
      <c r="I110" t="s">
        <v>1144</v>
      </c>
      <c r="J110">
        <v>-1</v>
      </c>
    </row>
    <row r="111" spans="1:10" ht="13" x14ac:dyDescent="0.15">
      <c r="A111" s="1">
        <v>110</v>
      </c>
      <c r="B111" s="1">
        <v>7</v>
      </c>
      <c r="C111" s="1" t="s">
        <v>259</v>
      </c>
      <c r="D111" s="1" t="s">
        <v>171</v>
      </c>
      <c r="E111" s="1" t="s">
        <v>264</v>
      </c>
      <c r="F111">
        <v>14</v>
      </c>
      <c r="G111" t="s">
        <v>1247</v>
      </c>
      <c r="H111" t="s">
        <v>1248</v>
      </c>
      <c r="I111" t="s">
        <v>1143</v>
      </c>
      <c r="J111">
        <v>6</v>
      </c>
    </row>
    <row r="112" spans="1:10" ht="13" x14ac:dyDescent="0.15">
      <c r="A112" s="1">
        <v>111</v>
      </c>
      <c r="B112" s="1">
        <v>7</v>
      </c>
      <c r="C112" s="1" t="s">
        <v>257</v>
      </c>
      <c r="D112" s="1" t="s">
        <v>70</v>
      </c>
      <c r="E112" s="1" t="s">
        <v>258</v>
      </c>
      <c r="F112">
        <v>5</v>
      </c>
      <c r="G112" t="s">
        <v>1247</v>
      </c>
      <c r="H112" t="s">
        <v>1248</v>
      </c>
      <c r="I112" t="s">
        <v>1144</v>
      </c>
      <c r="J112">
        <v>19</v>
      </c>
    </row>
    <row r="113" spans="1:10" ht="13" x14ac:dyDescent="0.15">
      <c r="A113" s="1">
        <v>112</v>
      </c>
      <c r="B113" s="1">
        <v>7</v>
      </c>
      <c r="C113" s="1" t="s">
        <v>235</v>
      </c>
      <c r="D113" s="1" t="s">
        <v>70</v>
      </c>
      <c r="E113" s="1" t="s">
        <v>272</v>
      </c>
      <c r="F113">
        <v>5</v>
      </c>
      <c r="G113" t="s">
        <v>1247</v>
      </c>
      <c r="H113" t="s">
        <v>1248</v>
      </c>
      <c r="I113" t="s">
        <v>1144</v>
      </c>
      <c r="J113">
        <v>5</v>
      </c>
    </row>
    <row r="114" spans="1:10" ht="13" x14ac:dyDescent="0.15">
      <c r="A114" s="1">
        <v>113</v>
      </c>
      <c r="B114" s="1">
        <v>7</v>
      </c>
      <c r="C114" s="1" t="s">
        <v>267</v>
      </c>
      <c r="D114" s="1" t="s">
        <v>93</v>
      </c>
      <c r="E114" s="1" t="s">
        <v>284</v>
      </c>
      <c r="F114">
        <v>8</v>
      </c>
      <c r="G114" t="s">
        <v>1247</v>
      </c>
      <c r="H114" t="s">
        <v>1248</v>
      </c>
      <c r="I114" t="s">
        <v>1142</v>
      </c>
      <c r="J114">
        <v>-13</v>
      </c>
    </row>
    <row r="115" spans="1:10" ht="13" x14ac:dyDescent="0.15">
      <c r="A115" s="1">
        <v>114</v>
      </c>
      <c r="B115" s="1">
        <v>7</v>
      </c>
      <c r="C115" s="1" t="s">
        <v>275</v>
      </c>
      <c r="D115" s="1" t="s">
        <v>46</v>
      </c>
      <c r="E115" s="1" t="s">
        <v>276</v>
      </c>
      <c r="F115">
        <v>8</v>
      </c>
      <c r="G115" t="s">
        <v>1247</v>
      </c>
      <c r="H115" t="s">
        <v>1248</v>
      </c>
      <c r="I115" t="s">
        <v>1142</v>
      </c>
      <c r="J115">
        <v>42</v>
      </c>
    </row>
    <row r="116" spans="1:10" ht="13" x14ac:dyDescent="0.15">
      <c r="A116" s="1">
        <v>115</v>
      </c>
      <c r="B116" s="1">
        <v>7</v>
      </c>
      <c r="C116" s="1" t="s">
        <v>1146</v>
      </c>
      <c r="D116" s="1" t="s">
        <v>73</v>
      </c>
      <c r="E116" s="1" t="s">
        <v>288</v>
      </c>
      <c r="F116">
        <v>9</v>
      </c>
      <c r="G116" t="s">
        <v>1247</v>
      </c>
      <c r="H116" t="s">
        <v>1248</v>
      </c>
      <c r="I116" t="s">
        <v>1142</v>
      </c>
      <c r="J116">
        <v>-8</v>
      </c>
    </row>
    <row r="117" spans="1:10" ht="13" x14ac:dyDescent="0.15">
      <c r="A117" s="1">
        <v>116</v>
      </c>
      <c r="B117" s="1">
        <v>7</v>
      </c>
      <c r="C117" s="1" t="s">
        <v>261</v>
      </c>
      <c r="D117" s="1" t="s">
        <v>38</v>
      </c>
      <c r="E117" s="1" t="s">
        <v>266</v>
      </c>
      <c r="F117">
        <v>14</v>
      </c>
      <c r="G117" t="s">
        <v>1247</v>
      </c>
      <c r="H117" t="s">
        <v>1248</v>
      </c>
      <c r="I117" t="s">
        <v>1142</v>
      </c>
      <c r="J117">
        <v>-11</v>
      </c>
    </row>
    <row r="118" spans="1:10" ht="13" x14ac:dyDescent="0.15">
      <c r="A118" s="1">
        <v>117</v>
      </c>
      <c r="B118" s="1">
        <v>7</v>
      </c>
      <c r="C118" s="1" t="s">
        <v>343</v>
      </c>
      <c r="D118" s="1" t="s">
        <v>98</v>
      </c>
      <c r="E118" s="1" t="s">
        <v>270</v>
      </c>
      <c r="F118">
        <v>9</v>
      </c>
      <c r="G118" t="s">
        <v>1247</v>
      </c>
      <c r="H118" t="s">
        <v>1248</v>
      </c>
      <c r="I118" t="s">
        <v>1145</v>
      </c>
      <c r="J118">
        <v>-6</v>
      </c>
    </row>
    <row r="119" spans="1:10" ht="13" x14ac:dyDescent="0.15">
      <c r="A119" s="1">
        <v>118</v>
      </c>
      <c r="B119" s="1">
        <v>7</v>
      </c>
      <c r="C119" s="1" t="s">
        <v>279</v>
      </c>
      <c r="D119" s="1" t="s">
        <v>32</v>
      </c>
      <c r="E119" s="1" t="s">
        <v>282</v>
      </c>
      <c r="F119">
        <v>10</v>
      </c>
      <c r="G119" t="s">
        <v>1247</v>
      </c>
      <c r="H119" t="s">
        <v>1248</v>
      </c>
      <c r="I119" t="s">
        <v>1144</v>
      </c>
      <c r="J119">
        <v>5</v>
      </c>
    </row>
    <row r="120" spans="1:10" ht="13" x14ac:dyDescent="0.15">
      <c r="A120" s="1">
        <v>119</v>
      </c>
      <c r="B120" s="1">
        <v>7</v>
      </c>
      <c r="C120" s="1" t="s">
        <v>305</v>
      </c>
      <c r="D120" s="1" t="s">
        <v>84</v>
      </c>
      <c r="E120" s="1" t="s">
        <v>296</v>
      </c>
      <c r="F120">
        <v>7</v>
      </c>
      <c r="G120" t="s">
        <v>1247</v>
      </c>
      <c r="H120" t="s">
        <v>1248</v>
      </c>
      <c r="I120" t="s">
        <v>1142</v>
      </c>
      <c r="J120">
        <v>9</v>
      </c>
    </row>
    <row r="121" spans="1:10" ht="13" x14ac:dyDescent="0.15">
      <c r="A121" s="1">
        <v>120</v>
      </c>
      <c r="B121" s="1">
        <v>7</v>
      </c>
      <c r="C121" s="1" t="s">
        <v>289</v>
      </c>
      <c r="D121" s="1" t="s">
        <v>41</v>
      </c>
      <c r="E121" s="1" t="s">
        <v>290</v>
      </c>
      <c r="F121">
        <v>6</v>
      </c>
      <c r="G121" t="s">
        <v>1247</v>
      </c>
      <c r="H121" t="s">
        <v>1248</v>
      </c>
      <c r="I121" t="s">
        <v>1142</v>
      </c>
      <c r="J121">
        <v>7</v>
      </c>
    </row>
    <row r="122" spans="1:10" ht="13" x14ac:dyDescent="0.15">
      <c r="A122" s="1">
        <v>121</v>
      </c>
      <c r="B122" s="1">
        <v>7</v>
      </c>
      <c r="C122" s="1" t="s">
        <v>283</v>
      </c>
      <c r="D122" s="1" t="s">
        <v>20</v>
      </c>
      <c r="E122" s="1" t="s">
        <v>302</v>
      </c>
      <c r="F122">
        <v>5</v>
      </c>
      <c r="G122" t="s">
        <v>1247</v>
      </c>
      <c r="H122" t="s">
        <v>1248</v>
      </c>
      <c r="I122" t="s">
        <v>1142</v>
      </c>
      <c r="J122">
        <v>26</v>
      </c>
    </row>
    <row r="123" spans="1:10" ht="13" x14ac:dyDescent="0.15">
      <c r="A123" s="1">
        <v>122</v>
      </c>
      <c r="B123" s="1">
        <v>7</v>
      </c>
      <c r="C123" s="1" t="s">
        <v>299</v>
      </c>
      <c r="D123" s="1" t="s">
        <v>26</v>
      </c>
      <c r="E123" s="1" t="s">
        <v>300</v>
      </c>
      <c r="F123">
        <v>6</v>
      </c>
      <c r="G123" t="s">
        <v>1247</v>
      </c>
      <c r="H123" t="s">
        <v>1248</v>
      </c>
      <c r="I123" t="s">
        <v>1142</v>
      </c>
      <c r="J123">
        <v>12</v>
      </c>
    </row>
    <row r="124" spans="1:10" ht="13" x14ac:dyDescent="0.15">
      <c r="A124" s="1">
        <v>123</v>
      </c>
      <c r="B124" s="1">
        <v>7</v>
      </c>
      <c r="C124" s="1" t="s">
        <v>638</v>
      </c>
      <c r="D124" s="1" t="s">
        <v>103</v>
      </c>
      <c r="E124" s="1" t="s">
        <v>274</v>
      </c>
      <c r="F124">
        <v>12</v>
      </c>
      <c r="G124" t="s">
        <v>1247</v>
      </c>
      <c r="H124" t="s">
        <v>1248</v>
      </c>
      <c r="I124" t="s">
        <v>1144</v>
      </c>
      <c r="J124">
        <v>-24</v>
      </c>
    </row>
    <row r="125" spans="1:10" ht="13" x14ac:dyDescent="0.15">
      <c r="A125" s="1">
        <v>124</v>
      </c>
      <c r="B125" s="1">
        <v>7</v>
      </c>
      <c r="C125" s="1" t="s">
        <v>281</v>
      </c>
      <c r="D125" s="1" t="s">
        <v>84</v>
      </c>
      <c r="E125" s="1" t="s">
        <v>292</v>
      </c>
      <c r="F125">
        <v>7</v>
      </c>
      <c r="G125" t="s">
        <v>1247</v>
      </c>
      <c r="H125" t="s">
        <v>1248</v>
      </c>
      <c r="I125" t="s">
        <v>1142</v>
      </c>
      <c r="J125">
        <v>1</v>
      </c>
    </row>
    <row r="126" spans="1:10" ht="13" x14ac:dyDescent="0.15">
      <c r="A126" s="1">
        <v>125</v>
      </c>
      <c r="B126" s="1">
        <v>7</v>
      </c>
      <c r="C126" s="1" t="s">
        <v>309</v>
      </c>
      <c r="D126" s="1" t="s">
        <v>125</v>
      </c>
      <c r="E126" s="1" t="s">
        <v>294</v>
      </c>
      <c r="F126">
        <v>5</v>
      </c>
      <c r="G126" t="s">
        <v>1247</v>
      </c>
      <c r="H126" t="s">
        <v>1248</v>
      </c>
      <c r="I126" t="s">
        <v>1143</v>
      </c>
      <c r="J126">
        <v>-11</v>
      </c>
    </row>
    <row r="127" spans="1:10" ht="13" x14ac:dyDescent="0.15">
      <c r="A127" s="1">
        <v>126</v>
      </c>
      <c r="B127" s="1">
        <v>7</v>
      </c>
      <c r="C127" s="1" t="s">
        <v>293</v>
      </c>
      <c r="D127" s="1" t="s">
        <v>23</v>
      </c>
      <c r="E127" s="1" t="s">
        <v>310</v>
      </c>
      <c r="F127">
        <v>9</v>
      </c>
      <c r="G127" t="s">
        <v>1247</v>
      </c>
      <c r="H127" t="s">
        <v>1248</v>
      </c>
      <c r="I127" t="s">
        <v>1142</v>
      </c>
      <c r="J127">
        <v>9</v>
      </c>
    </row>
    <row r="128" spans="1:10" ht="13" x14ac:dyDescent="0.15">
      <c r="A128" s="1">
        <v>127</v>
      </c>
      <c r="B128" s="1">
        <v>7</v>
      </c>
      <c r="C128" s="1" t="s">
        <v>359</v>
      </c>
      <c r="D128" s="1" t="s">
        <v>41</v>
      </c>
      <c r="E128" s="1" t="s">
        <v>278</v>
      </c>
      <c r="F128">
        <v>6</v>
      </c>
      <c r="G128" t="s">
        <v>1247</v>
      </c>
      <c r="H128" t="s">
        <v>1248</v>
      </c>
      <c r="I128" t="s">
        <v>1144</v>
      </c>
      <c r="J128">
        <v>-9</v>
      </c>
    </row>
    <row r="129" spans="1:10" ht="13" x14ac:dyDescent="0.15">
      <c r="A129" s="1">
        <v>128</v>
      </c>
      <c r="B129" s="1">
        <v>7</v>
      </c>
      <c r="C129" s="1" t="s">
        <v>301</v>
      </c>
      <c r="D129" s="1" t="s">
        <v>122</v>
      </c>
      <c r="E129" s="1" t="s">
        <v>304</v>
      </c>
      <c r="F129">
        <v>11</v>
      </c>
      <c r="G129" t="s">
        <v>1247</v>
      </c>
      <c r="H129" t="s">
        <v>1248</v>
      </c>
      <c r="I129" t="s">
        <v>1143</v>
      </c>
      <c r="J129">
        <v>9</v>
      </c>
    </row>
    <row r="130" spans="1:10" ht="13" x14ac:dyDescent="0.15">
      <c r="A130" s="1">
        <v>129</v>
      </c>
      <c r="B130" s="1">
        <v>7</v>
      </c>
      <c r="C130" s="1" t="s">
        <v>265</v>
      </c>
      <c r="D130" s="1" t="s">
        <v>76</v>
      </c>
      <c r="E130" s="1" t="s">
        <v>286</v>
      </c>
      <c r="F130">
        <v>12</v>
      </c>
      <c r="G130" t="s">
        <v>1247</v>
      </c>
      <c r="H130" t="s">
        <v>1248</v>
      </c>
      <c r="I130" t="s">
        <v>1142</v>
      </c>
      <c r="J130">
        <v>-7</v>
      </c>
    </row>
    <row r="131" spans="1:10" ht="13" x14ac:dyDescent="0.15">
      <c r="A131" s="1">
        <v>130</v>
      </c>
      <c r="B131" s="1">
        <v>8</v>
      </c>
      <c r="C131" s="1" t="s">
        <v>313</v>
      </c>
      <c r="D131" s="1" t="s">
        <v>41</v>
      </c>
      <c r="E131" s="1" t="s">
        <v>306</v>
      </c>
      <c r="F131">
        <v>6</v>
      </c>
      <c r="G131" t="s">
        <v>1247</v>
      </c>
      <c r="H131" t="s">
        <v>1248</v>
      </c>
      <c r="I131" t="s">
        <v>1143</v>
      </c>
      <c r="J131">
        <v>24</v>
      </c>
    </row>
    <row r="132" spans="1:10" ht="13" x14ac:dyDescent="0.15">
      <c r="A132" s="1">
        <v>131</v>
      </c>
      <c r="B132" s="1">
        <v>8</v>
      </c>
      <c r="C132" s="1" t="s">
        <v>285</v>
      </c>
      <c r="D132" s="1" t="s">
        <v>73</v>
      </c>
      <c r="E132" s="1" t="s">
        <v>298</v>
      </c>
      <c r="F132">
        <v>9</v>
      </c>
      <c r="G132" t="s">
        <v>1247</v>
      </c>
      <c r="H132" t="s">
        <v>1248</v>
      </c>
      <c r="I132" t="s">
        <v>1142</v>
      </c>
      <c r="J132">
        <v>18</v>
      </c>
    </row>
    <row r="133" spans="1:10" ht="13" x14ac:dyDescent="0.15">
      <c r="A133" s="1">
        <v>132</v>
      </c>
      <c r="B133" s="1">
        <v>8</v>
      </c>
      <c r="C133" s="1" t="s">
        <v>196</v>
      </c>
      <c r="D133" s="1" t="s">
        <v>49</v>
      </c>
      <c r="E133" s="1" t="s">
        <v>308</v>
      </c>
      <c r="F133">
        <v>14</v>
      </c>
      <c r="G133" t="s">
        <v>1247</v>
      </c>
      <c r="H133" t="s">
        <v>1248</v>
      </c>
      <c r="I133" t="s">
        <v>1142</v>
      </c>
      <c r="J133">
        <v>-31</v>
      </c>
    </row>
    <row r="134" spans="1:10" ht="13" x14ac:dyDescent="0.15">
      <c r="A134" s="1">
        <v>133</v>
      </c>
      <c r="B134" s="1">
        <v>8</v>
      </c>
      <c r="C134" s="1" t="s">
        <v>311</v>
      </c>
      <c r="D134" s="1" t="s">
        <v>84</v>
      </c>
      <c r="E134" s="1" t="s">
        <v>312</v>
      </c>
      <c r="F134">
        <v>7</v>
      </c>
      <c r="G134" t="s">
        <v>1247</v>
      </c>
      <c r="H134" t="s">
        <v>1248</v>
      </c>
      <c r="I134" t="s">
        <v>1143</v>
      </c>
      <c r="J134">
        <v>17</v>
      </c>
    </row>
    <row r="135" spans="1:10" ht="13" x14ac:dyDescent="0.15">
      <c r="A135" s="1">
        <v>134</v>
      </c>
      <c r="B135" s="1">
        <v>8</v>
      </c>
      <c r="C135" s="1" t="s">
        <v>331</v>
      </c>
      <c r="D135" s="1" t="s">
        <v>79</v>
      </c>
      <c r="E135" s="1" t="s">
        <v>320</v>
      </c>
      <c r="F135">
        <v>8</v>
      </c>
      <c r="G135" t="s">
        <v>1247</v>
      </c>
      <c r="H135" t="s">
        <v>1248</v>
      </c>
      <c r="I135" t="s">
        <v>1142</v>
      </c>
      <c r="J135">
        <v>8</v>
      </c>
    </row>
    <row r="136" spans="1:10" ht="13" x14ac:dyDescent="0.15">
      <c r="A136" s="1">
        <v>135</v>
      </c>
      <c r="B136" s="1">
        <v>8</v>
      </c>
      <c r="C136" s="1" t="s">
        <v>269</v>
      </c>
      <c r="D136" s="1" t="s">
        <v>194</v>
      </c>
      <c r="E136" s="1" t="s">
        <v>324</v>
      </c>
      <c r="F136">
        <v>9</v>
      </c>
      <c r="G136" t="s">
        <v>1247</v>
      </c>
      <c r="H136" t="s">
        <v>1248</v>
      </c>
      <c r="I136" t="s">
        <v>1143</v>
      </c>
      <c r="J136">
        <v>-31</v>
      </c>
    </row>
    <row r="137" spans="1:10" ht="13" x14ac:dyDescent="0.15">
      <c r="A137" s="1">
        <v>136</v>
      </c>
      <c r="B137" s="1">
        <v>8</v>
      </c>
      <c r="C137" s="1" t="s">
        <v>347</v>
      </c>
      <c r="D137" s="1" t="s">
        <v>140</v>
      </c>
      <c r="E137" s="1" t="s">
        <v>314</v>
      </c>
      <c r="F137">
        <v>12</v>
      </c>
      <c r="G137" t="s">
        <v>1247</v>
      </c>
      <c r="H137" t="s">
        <v>1248</v>
      </c>
      <c r="I137" t="s">
        <v>1142</v>
      </c>
      <c r="J137">
        <v>12</v>
      </c>
    </row>
    <row r="138" spans="1:10" ht="13" x14ac:dyDescent="0.15">
      <c r="A138" s="1">
        <v>137</v>
      </c>
      <c r="B138" s="1">
        <v>8</v>
      </c>
      <c r="C138" s="1" t="s">
        <v>373</v>
      </c>
      <c r="D138" s="1" t="s">
        <v>46</v>
      </c>
      <c r="E138" s="1" t="s">
        <v>328</v>
      </c>
      <c r="F138">
        <v>8</v>
      </c>
      <c r="G138" t="s">
        <v>1247</v>
      </c>
      <c r="H138" t="s">
        <v>1248</v>
      </c>
      <c r="I138" t="s">
        <v>1144</v>
      </c>
      <c r="J138">
        <v>7</v>
      </c>
    </row>
    <row r="139" spans="1:10" ht="13" x14ac:dyDescent="0.15">
      <c r="A139" s="1">
        <v>138</v>
      </c>
      <c r="B139" s="1">
        <v>8</v>
      </c>
      <c r="C139" s="1" t="s">
        <v>317</v>
      </c>
      <c r="D139" s="1" t="s">
        <v>55</v>
      </c>
      <c r="E139" s="1" t="s">
        <v>318</v>
      </c>
      <c r="F139">
        <v>7</v>
      </c>
      <c r="G139" t="s">
        <v>1247</v>
      </c>
      <c r="H139" t="s">
        <v>1248</v>
      </c>
      <c r="I139" t="s">
        <v>1142</v>
      </c>
      <c r="J139">
        <v>36</v>
      </c>
    </row>
    <row r="140" spans="1:10" ht="13" x14ac:dyDescent="0.15">
      <c r="A140" s="1">
        <v>139</v>
      </c>
      <c r="B140" s="1">
        <v>8</v>
      </c>
      <c r="C140" s="1" t="s">
        <v>321</v>
      </c>
      <c r="D140" s="1" t="s">
        <v>20</v>
      </c>
      <c r="E140" s="1" t="s">
        <v>322</v>
      </c>
      <c r="F140">
        <v>5</v>
      </c>
      <c r="G140" t="s">
        <v>1247</v>
      </c>
      <c r="H140" t="s">
        <v>1248</v>
      </c>
      <c r="I140" t="s">
        <v>1142</v>
      </c>
      <c r="J140">
        <v>-8</v>
      </c>
    </row>
    <row r="141" spans="1:10" ht="13" x14ac:dyDescent="0.15">
      <c r="A141" s="1">
        <v>140</v>
      </c>
      <c r="B141" s="1">
        <v>8</v>
      </c>
      <c r="C141" s="1" t="s">
        <v>345</v>
      </c>
      <c r="D141" s="1" t="s">
        <v>32</v>
      </c>
      <c r="E141" s="1" t="s">
        <v>332</v>
      </c>
      <c r="F141">
        <v>10</v>
      </c>
      <c r="G141" t="s">
        <v>1247</v>
      </c>
      <c r="H141" t="s">
        <v>1248</v>
      </c>
      <c r="I141" t="s">
        <v>1144</v>
      </c>
      <c r="J141">
        <v>-8</v>
      </c>
    </row>
    <row r="142" spans="1:10" ht="13" x14ac:dyDescent="0.15">
      <c r="A142" s="1">
        <v>141</v>
      </c>
      <c r="B142" s="1">
        <v>8</v>
      </c>
      <c r="C142" s="1" t="s">
        <v>295</v>
      </c>
      <c r="D142" s="1" t="s">
        <v>49</v>
      </c>
      <c r="E142" s="1" t="s">
        <v>334</v>
      </c>
      <c r="F142">
        <v>14</v>
      </c>
      <c r="G142" t="s">
        <v>1247</v>
      </c>
      <c r="H142" t="s">
        <v>1248</v>
      </c>
      <c r="I142" t="s">
        <v>1143</v>
      </c>
      <c r="J142">
        <v>5</v>
      </c>
    </row>
    <row r="143" spans="1:10" ht="13" x14ac:dyDescent="0.15">
      <c r="A143" s="1">
        <v>142</v>
      </c>
      <c r="B143" s="1">
        <v>8</v>
      </c>
      <c r="C143" s="1" t="s">
        <v>315</v>
      </c>
      <c r="D143" s="1" t="s">
        <v>58</v>
      </c>
      <c r="E143" s="1" t="s">
        <v>316</v>
      </c>
      <c r="F143">
        <v>12</v>
      </c>
      <c r="G143" t="s">
        <v>1247</v>
      </c>
      <c r="H143" t="s">
        <v>1248</v>
      </c>
      <c r="I143" t="s">
        <v>1145</v>
      </c>
      <c r="J143">
        <v>18</v>
      </c>
    </row>
    <row r="144" spans="1:10" ht="13" x14ac:dyDescent="0.15">
      <c r="A144" s="1">
        <v>143</v>
      </c>
      <c r="B144" s="1">
        <v>8</v>
      </c>
      <c r="C144" s="1" t="s">
        <v>183</v>
      </c>
      <c r="D144" s="1" t="s">
        <v>41</v>
      </c>
      <c r="E144" s="1" t="s">
        <v>344</v>
      </c>
      <c r="F144">
        <v>6</v>
      </c>
      <c r="G144" t="s">
        <v>1247</v>
      </c>
      <c r="H144" t="s">
        <v>1248</v>
      </c>
      <c r="I144" t="s">
        <v>1144</v>
      </c>
      <c r="J144">
        <v>-49</v>
      </c>
    </row>
    <row r="145" spans="1:10" ht="13" x14ac:dyDescent="0.15">
      <c r="A145" s="1">
        <v>144</v>
      </c>
      <c r="B145" s="1">
        <v>8</v>
      </c>
      <c r="C145" s="1" t="s">
        <v>319</v>
      </c>
      <c r="D145" s="1" t="s">
        <v>194</v>
      </c>
      <c r="E145" s="1" t="s">
        <v>346</v>
      </c>
      <c r="F145">
        <v>9</v>
      </c>
      <c r="G145" t="s">
        <v>1247</v>
      </c>
      <c r="H145" t="s">
        <v>1248</v>
      </c>
      <c r="I145" t="s">
        <v>1143</v>
      </c>
      <c r="J145">
        <v>-5</v>
      </c>
    </row>
    <row r="146" spans="1:10" ht="13" x14ac:dyDescent="0.15">
      <c r="A146" s="1">
        <v>145</v>
      </c>
      <c r="B146" s="1">
        <v>8</v>
      </c>
      <c r="C146" s="1" t="s">
        <v>323</v>
      </c>
      <c r="D146" s="1" t="s">
        <v>20</v>
      </c>
      <c r="E146" s="1" t="s">
        <v>350</v>
      </c>
      <c r="F146">
        <v>5</v>
      </c>
      <c r="G146" t="s">
        <v>1247</v>
      </c>
      <c r="H146" t="s">
        <v>1248</v>
      </c>
      <c r="I146" t="s">
        <v>1143</v>
      </c>
      <c r="J146">
        <v>19</v>
      </c>
    </row>
    <row r="147" spans="1:10" ht="13" x14ac:dyDescent="0.15">
      <c r="A147" s="1">
        <v>146</v>
      </c>
      <c r="B147" s="1">
        <v>8</v>
      </c>
      <c r="C147" s="1" t="s">
        <v>341</v>
      </c>
      <c r="D147" s="1" t="s">
        <v>135</v>
      </c>
      <c r="E147" s="1" t="s">
        <v>326</v>
      </c>
      <c r="F147">
        <v>14</v>
      </c>
      <c r="G147" t="s">
        <v>1247</v>
      </c>
      <c r="H147" t="s">
        <v>1248</v>
      </c>
      <c r="I147" t="s">
        <v>1142</v>
      </c>
      <c r="J147">
        <v>27</v>
      </c>
    </row>
    <row r="148" spans="1:10" ht="13" x14ac:dyDescent="0.15">
      <c r="A148" s="1">
        <v>147</v>
      </c>
      <c r="B148" s="1">
        <v>8</v>
      </c>
      <c r="C148" s="1" t="s">
        <v>534</v>
      </c>
      <c r="D148" s="1" t="s">
        <v>76</v>
      </c>
      <c r="E148" s="1" t="s">
        <v>336</v>
      </c>
      <c r="F148">
        <v>12</v>
      </c>
      <c r="G148" t="s">
        <v>1247</v>
      </c>
      <c r="H148" t="s">
        <v>1248</v>
      </c>
      <c r="I148" t="s">
        <v>1142</v>
      </c>
      <c r="J148">
        <v>-9</v>
      </c>
    </row>
    <row r="149" spans="1:10" ht="13" x14ac:dyDescent="0.15">
      <c r="A149" s="1">
        <v>148</v>
      </c>
      <c r="B149" s="1">
        <v>8</v>
      </c>
      <c r="C149" s="1" t="s">
        <v>337</v>
      </c>
      <c r="D149" s="1" t="s">
        <v>171</v>
      </c>
      <c r="E149" s="1" t="s">
        <v>330</v>
      </c>
      <c r="F149">
        <v>14</v>
      </c>
      <c r="G149" t="s">
        <v>1247</v>
      </c>
      <c r="H149" t="s">
        <v>1248</v>
      </c>
      <c r="I149" t="s">
        <v>1142</v>
      </c>
      <c r="J149">
        <v>7</v>
      </c>
    </row>
    <row r="150" spans="1:10" ht="13" x14ac:dyDescent="0.15">
      <c r="A150" s="1">
        <v>149</v>
      </c>
      <c r="B150" s="1">
        <v>8</v>
      </c>
      <c r="C150" s="1" t="s">
        <v>335</v>
      </c>
      <c r="D150" s="1" t="s">
        <v>194</v>
      </c>
      <c r="E150" s="1" t="s">
        <v>348</v>
      </c>
      <c r="F150">
        <v>9</v>
      </c>
      <c r="G150" t="s">
        <v>1247</v>
      </c>
      <c r="H150" t="s">
        <v>1248</v>
      </c>
      <c r="I150" t="s">
        <v>1144</v>
      </c>
      <c r="J150">
        <v>61</v>
      </c>
    </row>
    <row r="151" spans="1:10" ht="13" x14ac:dyDescent="0.15">
      <c r="A151" s="1">
        <v>150</v>
      </c>
      <c r="B151" s="1">
        <v>8</v>
      </c>
      <c r="C151" s="1" t="s">
        <v>379</v>
      </c>
      <c r="D151" s="1" t="s">
        <v>194</v>
      </c>
      <c r="E151" s="1" t="s">
        <v>360</v>
      </c>
      <c r="F151">
        <v>9</v>
      </c>
      <c r="G151" t="s">
        <v>1247</v>
      </c>
      <c r="H151" t="s">
        <v>1248</v>
      </c>
      <c r="I151" t="s">
        <v>1143</v>
      </c>
      <c r="J151">
        <v>1</v>
      </c>
    </row>
    <row r="152" spans="1:10" ht="13" x14ac:dyDescent="0.15">
      <c r="A152" s="1">
        <v>151</v>
      </c>
      <c r="B152" s="1">
        <v>8</v>
      </c>
      <c r="C152" s="1" t="s">
        <v>339</v>
      </c>
      <c r="D152" s="1" t="s">
        <v>20</v>
      </c>
      <c r="E152" s="1" t="s">
        <v>340</v>
      </c>
      <c r="F152">
        <v>5</v>
      </c>
      <c r="G152" t="s">
        <v>1247</v>
      </c>
      <c r="H152" t="s">
        <v>1248</v>
      </c>
      <c r="I152" t="s">
        <v>1143</v>
      </c>
      <c r="J152">
        <v>14</v>
      </c>
    </row>
    <row r="153" spans="1:10" ht="13" x14ac:dyDescent="0.15">
      <c r="A153" s="1">
        <v>152</v>
      </c>
      <c r="B153" s="1">
        <v>8</v>
      </c>
      <c r="C153" s="1" t="s">
        <v>333</v>
      </c>
      <c r="D153" s="1" t="s">
        <v>125</v>
      </c>
      <c r="E153" s="1" t="s">
        <v>352</v>
      </c>
      <c r="F153">
        <v>5</v>
      </c>
      <c r="G153" t="s">
        <v>1247</v>
      </c>
      <c r="H153" t="s">
        <v>1248</v>
      </c>
      <c r="I153" t="s">
        <v>1144</v>
      </c>
      <c r="J153">
        <v>0</v>
      </c>
    </row>
    <row r="154" spans="1:10" ht="13" x14ac:dyDescent="0.15">
      <c r="A154" s="1">
        <v>153</v>
      </c>
      <c r="B154" s="1">
        <v>8</v>
      </c>
      <c r="C154" s="1" t="s">
        <v>357</v>
      </c>
      <c r="D154" s="1" t="s">
        <v>103</v>
      </c>
      <c r="E154" s="1" t="s">
        <v>338</v>
      </c>
      <c r="F154">
        <v>12</v>
      </c>
      <c r="G154" t="s">
        <v>1247</v>
      </c>
      <c r="H154" t="s">
        <v>1248</v>
      </c>
      <c r="I154" t="s">
        <v>1142</v>
      </c>
      <c r="J154">
        <v>4</v>
      </c>
    </row>
    <row r="155" spans="1:10" ht="13" x14ac:dyDescent="0.15">
      <c r="A155" s="1">
        <v>154</v>
      </c>
      <c r="B155" s="1">
        <v>8</v>
      </c>
      <c r="C155" s="1" t="s">
        <v>273</v>
      </c>
      <c r="D155" s="1" t="s">
        <v>164</v>
      </c>
      <c r="E155" s="1" t="s">
        <v>364</v>
      </c>
      <c r="F155">
        <v>10</v>
      </c>
      <c r="G155" t="s">
        <v>1247</v>
      </c>
      <c r="H155" t="s">
        <v>1248</v>
      </c>
      <c r="I155" t="s">
        <v>1144</v>
      </c>
      <c r="J155">
        <v>9</v>
      </c>
    </row>
    <row r="156" spans="1:10" ht="13" x14ac:dyDescent="0.15">
      <c r="A156" s="1">
        <v>155</v>
      </c>
      <c r="B156" s="1">
        <v>8</v>
      </c>
      <c r="C156" s="1" t="s">
        <v>369</v>
      </c>
      <c r="D156" s="1" t="s">
        <v>52</v>
      </c>
      <c r="E156" s="1" t="s">
        <v>342</v>
      </c>
      <c r="F156">
        <v>8</v>
      </c>
      <c r="G156" t="s">
        <v>1247</v>
      </c>
      <c r="H156" t="s">
        <v>1248</v>
      </c>
      <c r="I156" t="s">
        <v>1142</v>
      </c>
      <c r="J156">
        <v>21</v>
      </c>
    </row>
    <row r="157" spans="1:10" ht="13" x14ac:dyDescent="0.15">
      <c r="A157" s="1">
        <v>156</v>
      </c>
      <c r="B157" s="1">
        <v>8</v>
      </c>
      <c r="C157" s="1" t="s">
        <v>371</v>
      </c>
      <c r="D157" s="1" t="s">
        <v>41</v>
      </c>
      <c r="E157" s="1" t="s">
        <v>354</v>
      </c>
      <c r="F157">
        <v>6</v>
      </c>
      <c r="G157" t="s">
        <v>1247</v>
      </c>
      <c r="H157" t="s">
        <v>1248</v>
      </c>
      <c r="I157" t="s">
        <v>1143</v>
      </c>
      <c r="J157">
        <v>-13</v>
      </c>
    </row>
    <row r="158" spans="1:10" ht="13" x14ac:dyDescent="0.15">
      <c r="A158" s="1">
        <v>157</v>
      </c>
      <c r="B158" s="1">
        <v>8</v>
      </c>
      <c r="C158" s="1" t="s">
        <v>329</v>
      </c>
      <c r="D158" s="1" t="s">
        <v>132</v>
      </c>
      <c r="E158" s="1" t="s">
        <v>358</v>
      </c>
      <c r="F158">
        <v>5</v>
      </c>
      <c r="G158" t="s">
        <v>1247</v>
      </c>
      <c r="H158" t="s">
        <v>1248</v>
      </c>
      <c r="I158" t="s">
        <v>1142</v>
      </c>
      <c r="J158">
        <v>-17</v>
      </c>
    </row>
    <row r="159" spans="1:10" ht="13" x14ac:dyDescent="0.15">
      <c r="A159" s="1">
        <v>158</v>
      </c>
      <c r="B159" s="1">
        <v>8</v>
      </c>
      <c r="C159" s="1" t="s">
        <v>355</v>
      </c>
      <c r="D159" s="1" t="s">
        <v>70</v>
      </c>
      <c r="E159" s="1" t="s">
        <v>356</v>
      </c>
      <c r="F159">
        <v>5</v>
      </c>
      <c r="G159" t="s">
        <v>1247</v>
      </c>
      <c r="H159" t="s">
        <v>1248</v>
      </c>
      <c r="I159" t="s">
        <v>1144</v>
      </c>
      <c r="J159">
        <v>67</v>
      </c>
    </row>
    <row r="160" spans="1:10" ht="13" x14ac:dyDescent="0.15">
      <c r="A160" s="1">
        <v>159</v>
      </c>
      <c r="B160" s="1">
        <v>8</v>
      </c>
      <c r="C160" s="1" t="s">
        <v>563</v>
      </c>
      <c r="D160" s="1" t="s">
        <v>58</v>
      </c>
      <c r="E160" s="1" t="s">
        <v>374</v>
      </c>
      <c r="F160">
        <v>12</v>
      </c>
      <c r="G160" t="s">
        <v>1247</v>
      </c>
      <c r="H160" t="s">
        <v>1248</v>
      </c>
      <c r="I160" t="s">
        <v>1143</v>
      </c>
      <c r="J160">
        <v>-23</v>
      </c>
    </row>
    <row r="161" spans="1:10" ht="13" x14ac:dyDescent="0.15">
      <c r="A161" s="1">
        <v>160</v>
      </c>
      <c r="B161" s="1">
        <v>8</v>
      </c>
      <c r="C161" s="1" t="s">
        <v>325</v>
      </c>
      <c r="D161" s="1" t="s">
        <v>35</v>
      </c>
      <c r="E161" s="1" t="s">
        <v>370</v>
      </c>
      <c r="F161">
        <v>8</v>
      </c>
      <c r="G161" t="s">
        <v>1247</v>
      </c>
      <c r="H161" t="s">
        <v>1248</v>
      </c>
      <c r="I161" t="s">
        <v>1142</v>
      </c>
      <c r="J161">
        <v>11</v>
      </c>
    </row>
    <row r="162" spans="1:10" ht="13" x14ac:dyDescent="0.15">
      <c r="A162" s="1">
        <v>161</v>
      </c>
      <c r="B162" s="1">
        <v>8</v>
      </c>
      <c r="C162" s="1" t="s">
        <v>349</v>
      </c>
      <c r="D162" s="1" t="s">
        <v>135</v>
      </c>
      <c r="E162" s="1" t="s">
        <v>380</v>
      </c>
      <c r="F162">
        <v>14</v>
      </c>
      <c r="G162" t="s">
        <v>1247</v>
      </c>
      <c r="H162" t="s">
        <v>1248</v>
      </c>
      <c r="I162" t="s">
        <v>1143</v>
      </c>
      <c r="J162">
        <v>6</v>
      </c>
    </row>
    <row r="163" spans="1:10" ht="13" x14ac:dyDescent="0.15">
      <c r="A163" s="1">
        <v>162</v>
      </c>
      <c r="B163" s="1">
        <v>8</v>
      </c>
      <c r="C163" s="1" t="s">
        <v>381</v>
      </c>
      <c r="D163" s="1" t="s">
        <v>171</v>
      </c>
      <c r="E163" s="1" t="s">
        <v>362</v>
      </c>
      <c r="F163">
        <v>14</v>
      </c>
      <c r="G163" t="s">
        <v>1247</v>
      </c>
      <c r="H163" t="s">
        <v>1248</v>
      </c>
      <c r="I163" t="s">
        <v>1142</v>
      </c>
      <c r="J163">
        <v>58</v>
      </c>
    </row>
    <row r="164" spans="1:10" ht="13" x14ac:dyDescent="0.15">
      <c r="A164" s="1">
        <v>163</v>
      </c>
      <c r="B164" s="1">
        <v>8</v>
      </c>
      <c r="C164" s="1" t="s">
        <v>353</v>
      </c>
      <c r="D164" s="1" t="s">
        <v>151</v>
      </c>
      <c r="E164" s="1" t="s">
        <v>366</v>
      </c>
      <c r="F164">
        <v>10</v>
      </c>
      <c r="G164" t="s">
        <v>1247</v>
      </c>
      <c r="H164" t="s">
        <v>1248</v>
      </c>
      <c r="I164" t="s">
        <v>1142</v>
      </c>
      <c r="J164">
        <v>5</v>
      </c>
    </row>
    <row r="165" spans="1:10" ht="13" x14ac:dyDescent="0.15">
      <c r="A165" s="1">
        <v>164</v>
      </c>
      <c r="B165" s="1">
        <v>8</v>
      </c>
      <c r="C165" s="1" t="s">
        <v>396</v>
      </c>
      <c r="D165" s="1" t="s">
        <v>84</v>
      </c>
      <c r="E165" s="1" t="s">
        <v>368</v>
      </c>
      <c r="F165">
        <v>7</v>
      </c>
      <c r="G165" t="s">
        <v>1247</v>
      </c>
      <c r="H165" t="s">
        <v>1248</v>
      </c>
      <c r="I165" t="s">
        <v>1142</v>
      </c>
      <c r="J165">
        <v>8</v>
      </c>
    </row>
    <row r="166" spans="1:10" ht="13" x14ac:dyDescent="0.15">
      <c r="A166" s="1">
        <v>165</v>
      </c>
      <c r="B166" s="1">
        <v>8</v>
      </c>
      <c r="C166" s="1" t="s">
        <v>361</v>
      </c>
      <c r="D166" s="1" t="s">
        <v>26</v>
      </c>
      <c r="E166" s="1" t="s">
        <v>372</v>
      </c>
      <c r="F166">
        <v>6</v>
      </c>
      <c r="G166" t="s">
        <v>1247</v>
      </c>
      <c r="H166" t="s">
        <v>1248</v>
      </c>
      <c r="I166" t="s">
        <v>1144</v>
      </c>
      <c r="J166">
        <v>1</v>
      </c>
    </row>
    <row r="167" spans="1:10" ht="13" x14ac:dyDescent="0.15">
      <c r="A167" s="1">
        <v>166</v>
      </c>
      <c r="B167" s="1">
        <v>8</v>
      </c>
      <c r="C167" s="1" t="s">
        <v>375</v>
      </c>
      <c r="D167" s="1" t="s">
        <v>38</v>
      </c>
      <c r="E167" s="1" t="s">
        <v>376</v>
      </c>
      <c r="F167">
        <v>14</v>
      </c>
      <c r="G167" t="s">
        <v>1247</v>
      </c>
      <c r="H167" t="s">
        <v>1248</v>
      </c>
      <c r="I167" t="s">
        <v>1144</v>
      </c>
      <c r="J167">
        <v>57</v>
      </c>
    </row>
    <row r="168" spans="1:10" ht="13" x14ac:dyDescent="0.15">
      <c r="A168" s="1">
        <v>167</v>
      </c>
      <c r="B168" s="1">
        <v>8</v>
      </c>
      <c r="C168" s="1" t="s">
        <v>1147</v>
      </c>
      <c r="D168" s="1" t="s">
        <v>164</v>
      </c>
      <c r="E168" s="1" t="s">
        <v>394</v>
      </c>
      <c r="F168">
        <v>10</v>
      </c>
      <c r="G168" t="s">
        <v>1247</v>
      </c>
      <c r="H168" t="s">
        <v>1248</v>
      </c>
      <c r="I168" t="s">
        <v>1144</v>
      </c>
      <c r="J168">
        <v>-6</v>
      </c>
    </row>
    <row r="169" spans="1:10" ht="13" x14ac:dyDescent="0.15">
      <c r="A169" s="1">
        <v>168</v>
      </c>
      <c r="B169" s="1">
        <v>8</v>
      </c>
      <c r="C169" s="1" t="s">
        <v>387</v>
      </c>
      <c r="D169" s="1" t="s">
        <v>135</v>
      </c>
      <c r="E169" s="1" t="s">
        <v>378</v>
      </c>
      <c r="F169">
        <v>14</v>
      </c>
      <c r="G169" t="s">
        <v>1247</v>
      </c>
      <c r="H169" t="s">
        <v>1248</v>
      </c>
      <c r="I169" t="s">
        <v>1143</v>
      </c>
      <c r="J169">
        <v>39</v>
      </c>
    </row>
    <row r="170" spans="1:10" ht="13" x14ac:dyDescent="0.15">
      <c r="A170" s="1">
        <v>169</v>
      </c>
      <c r="B170" s="1">
        <v>8</v>
      </c>
      <c r="C170" s="1" t="s">
        <v>385</v>
      </c>
      <c r="D170" s="1" t="s">
        <v>46</v>
      </c>
      <c r="E170" s="1" t="s">
        <v>386</v>
      </c>
      <c r="F170">
        <v>8</v>
      </c>
      <c r="G170" t="s">
        <v>1247</v>
      </c>
      <c r="H170" t="s">
        <v>1248</v>
      </c>
      <c r="I170" t="s">
        <v>1142</v>
      </c>
      <c r="J170">
        <v>11</v>
      </c>
    </row>
    <row r="171" spans="1:10" ht="13" x14ac:dyDescent="0.15">
      <c r="A171" s="1">
        <v>170</v>
      </c>
      <c r="B171" s="1">
        <v>9</v>
      </c>
      <c r="C171" s="1" t="s">
        <v>418</v>
      </c>
      <c r="D171" s="1" t="s">
        <v>164</v>
      </c>
      <c r="E171" s="1" t="s">
        <v>392</v>
      </c>
      <c r="F171">
        <v>10</v>
      </c>
      <c r="G171" t="s">
        <v>1247</v>
      </c>
      <c r="H171" t="s">
        <v>1248</v>
      </c>
      <c r="I171" t="s">
        <v>1142</v>
      </c>
      <c r="J171">
        <v>-8</v>
      </c>
    </row>
    <row r="172" spans="1:10" ht="13" x14ac:dyDescent="0.15">
      <c r="A172" s="1">
        <v>171</v>
      </c>
      <c r="B172" s="1">
        <v>9</v>
      </c>
      <c r="C172" s="1" t="s">
        <v>367</v>
      </c>
      <c r="D172" s="1" t="s">
        <v>171</v>
      </c>
      <c r="E172" s="1" t="s">
        <v>382</v>
      </c>
      <c r="F172">
        <v>14</v>
      </c>
      <c r="G172" t="s">
        <v>1247</v>
      </c>
      <c r="H172" t="s">
        <v>1248</v>
      </c>
      <c r="I172" t="s">
        <v>1142</v>
      </c>
      <c r="J172">
        <v>55</v>
      </c>
    </row>
    <row r="173" spans="1:10" ht="13" x14ac:dyDescent="0.15">
      <c r="A173" s="1">
        <v>172</v>
      </c>
      <c r="B173" s="1">
        <v>9</v>
      </c>
      <c r="C173" s="1" t="s">
        <v>377</v>
      </c>
      <c r="D173" s="1" t="s">
        <v>76</v>
      </c>
      <c r="E173" s="1" t="s">
        <v>388</v>
      </c>
      <c r="F173">
        <v>12</v>
      </c>
      <c r="G173" t="s">
        <v>1247</v>
      </c>
      <c r="H173" t="s">
        <v>1248</v>
      </c>
      <c r="I173" t="s">
        <v>1142</v>
      </c>
      <c r="J173">
        <v>89</v>
      </c>
    </row>
    <row r="174" spans="1:10" ht="13" x14ac:dyDescent="0.15">
      <c r="A174" s="1">
        <v>173</v>
      </c>
      <c r="B174" s="1">
        <v>9</v>
      </c>
      <c r="C174" s="1" t="s">
        <v>537</v>
      </c>
      <c r="D174" s="1" t="s">
        <v>41</v>
      </c>
      <c r="E174" s="1" t="s">
        <v>384</v>
      </c>
      <c r="F174">
        <v>6</v>
      </c>
      <c r="G174" t="s">
        <v>1247</v>
      </c>
      <c r="H174" t="s">
        <v>1248</v>
      </c>
      <c r="I174" t="s">
        <v>1144</v>
      </c>
      <c r="J174">
        <v>33</v>
      </c>
    </row>
    <row r="175" spans="1:10" ht="13" x14ac:dyDescent="0.15">
      <c r="A175" s="1">
        <v>174</v>
      </c>
      <c r="B175" s="1">
        <v>9</v>
      </c>
      <c r="C175" s="1" t="s">
        <v>393</v>
      </c>
      <c r="D175" s="1" t="s">
        <v>93</v>
      </c>
      <c r="E175" s="1" t="s">
        <v>395</v>
      </c>
      <c r="F175">
        <v>8</v>
      </c>
      <c r="G175" t="s">
        <v>1247</v>
      </c>
      <c r="H175" t="s">
        <v>1248</v>
      </c>
      <c r="I175" t="s">
        <v>1142</v>
      </c>
      <c r="J175">
        <v>1</v>
      </c>
    </row>
    <row r="176" spans="1:10" ht="13" x14ac:dyDescent="0.15">
      <c r="A176" s="1">
        <v>175</v>
      </c>
      <c r="B176" s="1">
        <v>9</v>
      </c>
      <c r="C176" s="1" t="s">
        <v>400</v>
      </c>
      <c r="D176" s="1" t="s">
        <v>140</v>
      </c>
      <c r="E176" s="1" t="s">
        <v>401</v>
      </c>
      <c r="F176">
        <v>12</v>
      </c>
      <c r="G176" t="s">
        <v>1249</v>
      </c>
      <c r="H176" t="s">
        <v>1250</v>
      </c>
      <c r="I176" t="s">
        <v>1143</v>
      </c>
      <c r="J176">
        <v>-49</v>
      </c>
    </row>
    <row r="177" spans="1:10" ht="13" x14ac:dyDescent="0.15">
      <c r="A177" s="1">
        <v>176</v>
      </c>
      <c r="B177" s="1">
        <v>9</v>
      </c>
      <c r="C177" s="1" t="s">
        <v>391</v>
      </c>
      <c r="D177" s="1" t="s">
        <v>55</v>
      </c>
      <c r="E177" s="1" t="s">
        <v>407</v>
      </c>
      <c r="F177">
        <v>7</v>
      </c>
      <c r="G177" t="s">
        <v>1247</v>
      </c>
      <c r="H177" t="s">
        <v>1248</v>
      </c>
      <c r="I177" t="s">
        <v>1142</v>
      </c>
      <c r="J177">
        <v>10</v>
      </c>
    </row>
    <row r="178" spans="1:10" ht="13" x14ac:dyDescent="0.15">
      <c r="A178" s="1">
        <v>177</v>
      </c>
      <c r="B178" s="1">
        <v>9</v>
      </c>
      <c r="C178" s="1" t="s">
        <v>351</v>
      </c>
      <c r="D178" s="1" t="s">
        <v>76</v>
      </c>
      <c r="E178" s="1" t="s">
        <v>397</v>
      </c>
      <c r="F178">
        <v>12</v>
      </c>
      <c r="G178" t="s">
        <v>1247</v>
      </c>
      <c r="H178" t="s">
        <v>1248</v>
      </c>
      <c r="I178" t="s">
        <v>1142</v>
      </c>
      <c r="J178">
        <v>32</v>
      </c>
    </row>
    <row r="179" spans="1:10" ht="13" x14ac:dyDescent="0.15">
      <c r="A179" s="1">
        <v>178</v>
      </c>
      <c r="B179" s="1">
        <v>9</v>
      </c>
      <c r="C179" s="1" t="s">
        <v>389</v>
      </c>
      <c r="D179" s="1" t="s">
        <v>35</v>
      </c>
      <c r="E179" s="1" t="s">
        <v>390</v>
      </c>
      <c r="F179">
        <v>8</v>
      </c>
      <c r="G179" t="s">
        <v>1247</v>
      </c>
      <c r="H179" t="s">
        <v>1248</v>
      </c>
      <c r="I179" t="s">
        <v>1142</v>
      </c>
      <c r="J179">
        <v>53</v>
      </c>
    </row>
    <row r="180" spans="1:10" ht="13" x14ac:dyDescent="0.15">
      <c r="A180" s="1">
        <v>179</v>
      </c>
      <c r="B180" s="1">
        <v>9</v>
      </c>
      <c r="C180" s="1" t="s">
        <v>383</v>
      </c>
      <c r="D180" s="1" t="s">
        <v>125</v>
      </c>
      <c r="E180" s="1" t="s">
        <v>399</v>
      </c>
      <c r="F180">
        <v>5</v>
      </c>
      <c r="G180" t="s">
        <v>1247</v>
      </c>
      <c r="H180" t="s">
        <v>1248</v>
      </c>
      <c r="I180" t="s">
        <v>1143</v>
      </c>
      <c r="J180">
        <v>63</v>
      </c>
    </row>
    <row r="181" spans="1:10" ht="13" x14ac:dyDescent="0.15">
      <c r="A181" s="1">
        <v>180</v>
      </c>
      <c r="B181" s="1">
        <v>9</v>
      </c>
      <c r="C181" s="1" t="s">
        <v>402</v>
      </c>
      <c r="D181" s="1" t="s">
        <v>23</v>
      </c>
      <c r="E181" s="1" t="s">
        <v>403</v>
      </c>
      <c r="F181">
        <v>9</v>
      </c>
      <c r="G181" t="s">
        <v>1249</v>
      </c>
      <c r="H181" t="s">
        <v>1250</v>
      </c>
      <c r="I181" t="s">
        <v>1144</v>
      </c>
      <c r="J181">
        <v>-51</v>
      </c>
    </row>
    <row r="182" spans="1:10" ht="13" x14ac:dyDescent="0.15">
      <c r="A182" s="1">
        <v>181</v>
      </c>
      <c r="B182" s="1">
        <v>9</v>
      </c>
      <c r="C182" s="1" t="s">
        <v>496</v>
      </c>
      <c r="D182" s="1" t="s">
        <v>23</v>
      </c>
      <c r="E182" s="1" t="s">
        <v>433</v>
      </c>
      <c r="F182">
        <v>9</v>
      </c>
      <c r="G182" t="s">
        <v>1247</v>
      </c>
      <c r="H182" t="s">
        <v>1248</v>
      </c>
      <c r="I182" t="s">
        <v>1142</v>
      </c>
      <c r="J182">
        <v>32</v>
      </c>
    </row>
    <row r="183" spans="1:10" ht="13" x14ac:dyDescent="0.15">
      <c r="A183" s="1">
        <v>182</v>
      </c>
      <c r="B183" s="1">
        <v>9</v>
      </c>
      <c r="C183" s="1" t="s">
        <v>424</v>
      </c>
      <c r="D183" s="1" t="s">
        <v>73</v>
      </c>
      <c r="E183" s="1" t="s">
        <v>413</v>
      </c>
      <c r="F183">
        <v>9</v>
      </c>
      <c r="G183" t="s">
        <v>1247</v>
      </c>
      <c r="H183" t="s">
        <v>1248</v>
      </c>
      <c r="I183" t="s">
        <v>1142</v>
      </c>
      <c r="J183">
        <v>9</v>
      </c>
    </row>
    <row r="184" spans="1:10" ht="13" x14ac:dyDescent="0.15">
      <c r="A184" s="1">
        <v>183</v>
      </c>
      <c r="B184" s="1">
        <v>9</v>
      </c>
      <c r="C184" s="1" t="s">
        <v>440</v>
      </c>
      <c r="D184" s="1" t="s">
        <v>135</v>
      </c>
      <c r="E184" s="1" t="s">
        <v>405</v>
      </c>
      <c r="F184">
        <v>14</v>
      </c>
      <c r="G184" t="s">
        <v>1247</v>
      </c>
      <c r="H184" t="s">
        <v>1248</v>
      </c>
      <c r="I184" t="s">
        <v>1143</v>
      </c>
      <c r="J184">
        <v>76</v>
      </c>
    </row>
    <row r="185" spans="1:10" ht="13" x14ac:dyDescent="0.15">
      <c r="A185" s="1">
        <v>184</v>
      </c>
      <c r="B185" s="1">
        <v>9</v>
      </c>
      <c r="C185" s="1" t="s">
        <v>412</v>
      </c>
      <c r="D185" s="1" t="s">
        <v>17</v>
      </c>
      <c r="E185" s="1" t="s">
        <v>415</v>
      </c>
      <c r="F185">
        <v>10</v>
      </c>
      <c r="G185" t="s">
        <v>1247</v>
      </c>
      <c r="H185" t="s">
        <v>1248</v>
      </c>
      <c r="I185" t="s">
        <v>1144</v>
      </c>
      <c r="J185">
        <v>19</v>
      </c>
    </row>
    <row r="186" spans="1:10" ht="13" x14ac:dyDescent="0.15">
      <c r="A186" s="1">
        <v>185</v>
      </c>
      <c r="B186" s="1">
        <v>9</v>
      </c>
      <c r="C186" s="1" t="s">
        <v>408</v>
      </c>
      <c r="D186" s="1" t="s">
        <v>132</v>
      </c>
      <c r="E186" s="1" t="s">
        <v>409</v>
      </c>
      <c r="F186">
        <v>5</v>
      </c>
      <c r="G186" t="s">
        <v>1249</v>
      </c>
      <c r="H186" t="s">
        <v>1250</v>
      </c>
      <c r="I186" t="s">
        <v>1142</v>
      </c>
      <c r="J186">
        <v>-44</v>
      </c>
    </row>
    <row r="187" spans="1:10" ht="13" x14ac:dyDescent="0.15">
      <c r="A187" s="1">
        <v>186</v>
      </c>
      <c r="B187" s="1">
        <v>9</v>
      </c>
      <c r="C187" s="1" t="s">
        <v>404</v>
      </c>
      <c r="D187" s="1" t="s">
        <v>55</v>
      </c>
      <c r="E187" s="1" t="s">
        <v>421</v>
      </c>
      <c r="F187">
        <v>7</v>
      </c>
      <c r="G187" t="s">
        <v>1247</v>
      </c>
      <c r="H187" t="s">
        <v>1248</v>
      </c>
      <c r="I187" t="s">
        <v>1142</v>
      </c>
      <c r="J187">
        <v>-16</v>
      </c>
    </row>
    <row r="188" spans="1:10" ht="13" x14ac:dyDescent="0.15">
      <c r="A188" s="1">
        <v>187</v>
      </c>
      <c r="B188" s="1">
        <v>9</v>
      </c>
      <c r="C188" s="1" t="s">
        <v>410</v>
      </c>
      <c r="D188" s="1" t="s">
        <v>26</v>
      </c>
      <c r="E188" s="1" t="s">
        <v>411</v>
      </c>
      <c r="F188">
        <v>6</v>
      </c>
      <c r="G188" t="s">
        <v>1249</v>
      </c>
      <c r="H188" t="s">
        <v>1250</v>
      </c>
      <c r="I188" t="s">
        <v>1144</v>
      </c>
      <c r="J188">
        <v>-28</v>
      </c>
    </row>
    <row r="189" spans="1:10" ht="13" x14ac:dyDescent="0.15">
      <c r="A189" s="1">
        <v>188</v>
      </c>
      <c r="B189" s="1">
        <v>9</v>
      </c>
      <c r="C189" s="1" t="s">
        <v>426</v>
      </c>
      <c r="D189" s="1" t="s">
        <v>132</v>
      </c>
      <c r="E189" s="1" t="s">
        <v>427</v>
      </c>
      <c r="F189">
        <v>5</v>
      </c>
      <c r="G189" t="s">
        <v>1247</v>
      </c>
      <c r="H189" t="s">
        <v>1248</v>
      </c>
      <c r="I189" t="s">
        <v>1143</v>
      </c>
      <c r="J189">
        <v>-19</v>
      </c>
    </row>
    <row r="190" spans="1:10" ht="13" x14ac:dyDescent="0.15">
      <c r="A190" s="1">
        <v>189</v>
      </c>
      <c r="B190" s="1">
        <v>9</v>
      </c>
      <c r="C190" s="1" t="s">
        <v>416</v>
      </c>
      <c r="D190" s="1" t="s">
        <v>55</v>
      </c>
      <c r="E190" s="1" t="s">
        <v>417</v>
      </c>
      <c r="F190">
        <v>7</v>
      </c>
      <c r="G190" t="s">
        <v>1249</v>
      </c>
      <c r="H190" t="s">
        <v>1250</v>
      </c>
      <c r="I190" t="s">
        <v>1142</v>
      </c>
      <c r="J190">
        <v>-36</v>
      </c>
    </row>
    <row r="191" spans="1:10" ht="13" x14ac:dyDescent="0.15">
      <c r="A191" s="1">
        <v>190</v>
      </c>
      <c r="B191" s="1">
        <v>9</v>
      </c>
      <c r="C191" s="1" t="s">
        <v>476</v>
      </c>
      <c r="D191" s="1" t="s">
        <v>125</v>
      </c>
      <c r="E191" s="1" t="s">
        <v>451</v>
      </c>
      <c r="F191">
        <v>5</v>
      </c>
      <c r="G191" t="s">
        <v>1247</v>
      </c>
      <c r="H191" t="s">
        <v>1248</v>
      </c>
      <c r="I191" t="s">
        <v>1143</v>
      </c>
      <c r="J191">
        <v>24</v>
      </c>
    </row>
    <row r="192" spans="1:10" ht="13" x14ac:dyDescent="0.15">
      <c r="A192" s="1">
        <v>191</v>
      </c>
      <c r="B192" s="1">
        <v>9</v>
      </c>
      <c r="C192" s="1" t="s">
        <v>327</v>
      </c>
      <c r="D192" s="1" t="s">
        <v>49</v>
      </c>
      <c r="E192" s="1" t="s">
        <v>455</v>
      </c>
      <c r="F192">
        <v>14</v>
      </c>
      <c r="G192" t="s">
        <v>1247</v>
      </c>
      <c r="H192" t="s">
        <v>1248</v>
      </c>
      <c r="I192" t="s">
        <v>1142</v>
      </c>
      <c r="J192">
        <v>-7</v>
      </c>
    </row>
    <row r="193" spans="1:10" ht="13" x14ac:dyDescent="0.15">
      <c r="A193" s="1">
        <v>192</v>
      </c>
      <c r="B193" s="1">
        <v>9</v>
      </c>
      <c r="C193" s="1" t="s">
        <v>422</v>
      </c>
      <c r="D193" s="1" t="s">
        <v>67</v>
      </c>
      <c r="E193" s="1" t="s">
        <v>423</v>
      </c>
      <c r="F193">
        <v>11</v>
      </c>
      <c r="G193" t="s">
        <v>1247</v>
      </c>
      <c r="H193" t="s">
        <v>1248</v>
      </c>
      <c r="I193" t="s">
        <v>1143</v>
      </c>
      <c r="J193">
        <v>53</v>
      </c>
    </row>
    <row r="194" spans="1:10" ht="13" x14ac:dyDescent="0.15">
      <c r="A194" s="1">
        <v>193</v>
      </c>
      <c r="B194" s="1">
        <v>9</v>
      </c>
      <c r="C194" s="1" t="s">
        <v>414</v>
      </c>
      <c r="D194" s="1" t="s">
        <v>98</v>
      </c>
      <c r="E194" s="1" t="s">
        <v>419</v>
      </c>
      <c r="F194">
        <v>9</v>
      </c>
      <c r="G194" t="s">
        <v>1247</v>
      </c>
      <c r="H194" t="s">
        <v>1248</v>
      </c>
      <c r="I194" t="s">
        <v>1142</v>
      </c>
      <c r="J194">
        <v>-1</v>
      </c>
    </row>
    <row r="195" spans="1:10" ht="13" x14ac:dyDescent="0.15">
      <c r="A195" s="1">
        <v>194</v>
      </c>
      <c r="B195" s="1">
        <v>9</v>
      </c>
      <c r="C195" s="1" t="s">
        <v>406</v>
      </c>
      <c r="D195" s="1" t="s">
        <v>132</v>
      </c>
      <c r="E195" s="1" t="s">
        <v>425</v>
      </c>
      <c r="F195">
        <v>5</v>
      </c>
      <c r="G195" t="s">
        <v>1247</v>
      </c>
      <c r="H195" t="s">
        <v>1248</v>
      </c>
      <c r="I195" t="s">
        <v>1142</v>
      </c>
      <c r="J195">
        <v>2</v>
      </c>
    </row>
    <row r="196" spans="1:10" ht="13" x14ac:dyDescent="0.15">
      <c r="A196" s="1">
        <v>195</v>
      </c>
      <c r="B196" s="1">
        <v>9</v>
      </c>
      <c r="C196" s="1" t="s">
        <v>428</v>
      </c>
      <c r="D196" s="1" t="s">
        <v>41</v>
      </c>
      <c r="E196" s="1" t="s">
        <v>429</v>
      </c>
      <c r="F196">
        <v>6</v>
      </c>
      <c r="G196" t="s">
        <v>1249</v>
      </c>
      <c r="H196" t="s">
        <v>1250</v>
      </c>
      <c r="I196" t="s">
        <v>1144</v>
      </c>
      <c r="J196">
        <v>-18</v>
      </c>
    </row>
    <row r="197" spans="1:10" ht="13" x14ac:dyDescent="0.15">
      <c r="A197" s="1">
        <v>196</v>
      </c>
      <c r="B197" s="1">
        <v>9</v>
      </c>
      <c r="C197" s="1" t="s">
        <v>444</v>
      </c>
      <c r="D197" s="1" t="s">
        <v>32</v>
      </c>
      <c r="E197" s="1" t="s">
        <v>445</v>
      </c>
      <c r="F197">
        <v>10</v>
      </c>
      <c r="G197" t="s">
        <v>1247</v>
      </c>
      <c r="H197" t="s">
        <v>1248</v>
      </c>
      <c r="I197" t="s">
        <v>1143</v>
      </c>
      <c r="J197">
        <v>-75</v>
      </c>
    </row>
    <row r="198" spans="1:10" ht="13" x14ac:dyDescent="0.15">
      <c r="A198" s="1">
        <v>197</v>
      </c>
      <c r="B198" s="1">
        <v>9</v>
      </c>
      <c r="C198" s="1" t="s">
        <v>454</v>
      </c>
      <c r="D198" s="1" t="s">
        <v>122</v>
      </c>
      <c r="E198" s="1" t="s">
        <v>461</v>
      </c>
      <c r="F198">
        <v>11</v>
      </c>
      <c r="G198" t="s">
        <v>1247</v>
      </c>
      <c r="H198" t="s">
        <v>1248</v>
      </c>
      <c r="I198" t="s">
        <v>1143</v>
      </c>
      <c r="J198">
        <v>39</v>
      </c>
    </row>
    <row r="199" spans="1:10" ht="13" x14ac:dyDescent="0.15">
      <c r="A199" s="1">
        <v>198</v>
      </c>
      <c r="B199" s="1">
        <v>9</v>
      </c>
      <c r="C199" s="1" t="s">
        <v>460</v>
      </c>
      <c r="D199" s="1" t="s">
        <v>55</v>
      </c>
      <c r="E199" s="1" t="s">
        <v>477</v>
      </c>
      <c r="F199">
        <v>7</v>
      </c>
      <c r="G199" t="s">
        <v>1247</v>
      </c>
      <c r="H199" t="s">
        <v>1248</v>
      </c>
      <c r="I199" t="s">
        <v>1142</v>
      </c>
      <c r="J199">
        <v>32</v>
      </c>
    </row>
    <row r="200" spans="1:10" ht="13" x14ac:dyDescent="0.15">
      <c r="A200" s="1">
        <v>199</v>
      </c>
      <c r="B200" s="1">
        <v>9</v>
      </c>
      <c r="C200" s="1" t="s">
        <v>494</v>
      </c>
      <c r="D200" s="1" t="s">
        <v>164</v>
      </c>
      <c r="E200" s="1" t="s">
        <v>431</v>
      </c>
      <c r="F200">
        <v>10</v>
      </c>
      <c r="G200" t="s">
        <v>1247</v>
      </c>
      <c r="H200" t="s">
        <v>1248</v>
      </c>
      <c r="I200" t="s">
        <v>1143</v>
      </c>
      <c r="J200">
        <v>45</v>
      </c>
    </row>
    <row r="201" spans="1:10" ht="13" x14ac:dyDescent="0.15">
      <c r="A201" s="1">
        <v>200</v>
      </c>
      <c r="B201" s="1">
        <v>9</v>
      </c>
      <c r="C201" s="1" t="s">
        <v>363</v>
      </c>
      <c r="D201" s="1" t="s">
        <v>58</v>
      </c>
      <c r="E201" s="1" t="s">
        <v>481</v>
      </c>
      <c r="F201">
        <v>12</v>
      </c>
      <c r="G201" t="s">
        <v>1247</v>
      </c>
      <c r="H201" t="s">
        <v>1248</v>
      </c>
      <c r="I201" t="s">
        <v>1143</v>
      </c>
      <c r="J201">
        <v>-7</v>
      </c>
    </row>
    <row r="202" spans="1:10" ht="13" x14ac:dyDescent="0.15">
      <c r="A202" s="1">
        <v>201</v>
      </c>
      <c r="B202" s="1">
        <v>9</v>
      </c>
      <c r="C202" s="1" t="s">
        <v>446</v>
      </c>
      <c r="D202" s="1" t="s">
        <v>38</v>
      </c>
      <c r="E202" s="1" t="s">
        <v>437</v>
      </c>
      <c r="F202">
        <v>14</v>
      </c>
      <c r="G202" t="s">
        <v>1247</v>
      </c>
      <c r="H202" t="s">
        <v>1248</v>
      </c>
      <c r="I202" t="s">
        <v>1144</v>
      </c>
      <c r="J202">
        <v>76</v>
      </c>
    </row>
    <row r="203" spans="1:10" ht="13" x14ac:dyDescent="0.15">
      <c r="A203" s="1">
        <v>202</v>
      </c>
      <c r="B203" s="1">
        <v>9</v>
      </c>
      <c r="C203" s="1" t="s">
        <v>458</v>
      </c>
      <c r="D203" s="1" t="s">
        <v>76</v>
      </c>
      <c r="E203" s="1" t="s">
        <v>449</v>
      </c>
      <c r="F203">
        <v>12</v>
      </c>
      <c r="G203" t="s">
        <v>1247</v>
      </c>
      <c r="H203" t="s">
        <v>1248</v>
      </c>
      <c r="I203" t="s">
        <v>1145</v>
      </c>
      <c r="J203">
        <v>-69</v>
      </c>
    </row>
    <row r="204" spans="1:10" ht="13" x14ac:dyDescent="0.15">
      <c r="A204" s="1">
        <v>203</v>
      </c>
      <c r="B204" s="1">
        <v>9</v>
      </c>
      <c r="C204" s="1" t="s">
        <v>448</v>
      </c>
      <c r="D204" s="1" t="s">
        <v>29</v>
      </c>
      <c r="E204" s="1" t="s">
        <v>459</v>
      </c>
      <c r="F204">
        <v>8</v>
      </c>
      <c r="G204" t="s">
        <v>1247</v>
      </c>
      <c r="H204" t="s">
        <v>1248</v>
      </c>
      <c r="I204" t="s">
        <v>1148</v>
      </c>
      <c r="J204">
        <v>-58</v>
      </c>
    </row>
    <row r="205" spans="1:10" ht="13" x14ac:dyDescent="0.15">
      <c r="A205" s="1">
        <v>204</v>
      </c>
      <c r="B205" s="1">
        <v>9</v>
      </c>
      <c r="C205" s="1" t="s">
        <v>617</v>
      </c>
      <c r="D205" s="1" t="s">
        <v>41</v>
      </c>
      <c r="E205" s="1" t="s">
        <v>487</v>
      </c>
      <c r="F205">
        <v>6</v>
      </c>
      <c r="G205" t="s">
        <v>1247</v>
      </c>
      <c r="H205" t="s">
        <v>1248</v>
      </c>
      <c r="I205" t="s">
        <v>1144</v>
      </c>
      <c r="J205">
        <v>63</v>
      </c>
    </row>
    <row r="206" spans="1:10" ht="13" x14ac:dyDescent="0.15">
      <c r="A206" s="1">
        <v>205</v>
      </c>
      <c r="B206" s="1">
        <v>9</v>
      </c>
      <c r="C206" s="1" t="s">
        <v>434</v>
      </c>
      <c r="D206" s="1" t="s">
        <v>151</v>
      </c>
      <c r="E206" s="1" t="s">
        <v>435</v>
      </c>
      <c r="F206">
        <v>10</v>
      </c>
      <c r="G206" t="s">
        <v>1249</v>
      </c>
      <c r="H206" t="s">
        <v>1250</v>
      </c>
      <c r="I206" t="s">
        <v>1148</v>
      </c>
      <c r="J206">
        <v>-27</v>
      </c>
    </row>
    <row r="207" spans="1:10" ht="13" x14ac:dyDescent="0.15">
      <c r="A207" s="1">
        <v>206</v>
      </c>
      <c r="B207" s="1">
        <v>9</v>
      </c>
      <c r="C207" s="1" t="s">
        <v>442</v>
      </c>
      <c r="D207" s="1" t="s">
        <v>84</v>
      </c>
      <c r="E207" s="1" t="s">
        <v>439</v>
      </c>
      <c r="F207">
        <v>7</v>
      </c>
      <c r="G207" t="s">
        <v>1249</v>
      </c>
      <c r="H207" t="s">
        <v>1250</v>
      </c>
      <c r="I207" t="s">
        <v>1145</v>
      </c>
      <c r="J207">
        <v>-17</v>
      </c>
    </row>
    <row r="208" spans="1:10" ht="13" x14ac:dyDescent="0.15">
      <c r="A208" s="1">
        <v>207</v>
      </c>
      <c r="B208" s="1">
        <v>9</v>
      </c>
      <c r="C208" s="1" t="s">
        <v>432</v>
      </c>
      <c r="D208" s="1" t="s">
        <v>151</v>
      </c>
      <c r="E208" s="1" t="s">
        <v>497</v>
      </c>
      <c r="F208">
        <v>10</v>
      </c>
      <c r="G208" t="s">
        <v>1247</v>
      </c>
      <c r="H208" t="s">
        <v>1248</v>
      </c>
      <c r="I208" t="s">
        <v>1144</v>
      </c>
      <c r="J208">
        <v>-49</v>
      </c>
    </row>
    <row r="209" spans="1:10" ht="13" x14ac:dyDescent="0.15">
      <c r="A209" s="1">
        <v>208</v>
      </c>
      <c r="B209" s="1">
        <v>9</v>
      </c>
      <c r="C209" s="1" t="s">
        <v>486</v>
      </c>
      <c r="D209" s="1" t="s">
        <v>67</v>
      </c>
      <c r="E209" s="1" t="s">
        <v>511</v>
      </c>
      <c r="F209">
        <v>11</v>
      </c>
      <c r="G209" t="s">
        <v>1247</v>
      </c>
      <c r="H209" t="s">
        <v>1248</v>
      </c>
      <c r="I209" t="s">
        <v>1144</v>
      </c>
      <c r="J209">
        <v>24</v>
      </c>
    </row>
    <row r="210" spans="1:10" ht="13" x14ac:dyDescent="0.15">
      <c r="A210" s="1">
        <v>209</v>
      </c>
      <c r="B210" s="1">
        <v>9</v>
      </c>
      <c r="C210" s="1" t="s">
        <v>666</v>
      </c>
      <c r="D210" s="1" t="s">
        <v>103</v>
      </c>
      <c r="E210" s="1" t="s">
        <v>525</v>
      </c>
      <c r="F210">
        <v>12</v>
      </c>
      <c r="G210" t="s">
        <v>1247</v>
      </c>
      <c r="H210" t="s">
        <v>1248</v>
      </c>
      <c r="I210" t="s">
        <v>1144</v>
      </c>
      <c r="J210">
        <v>46</v>
      </c>
    </row>
    <row r="211" spans="1:10" ht="13" x14ac:dyDescent="0.15">
      <c r="A211" s="1">
        <v>210</v>
      </c>
      <c r="B211" s="1">
        <v>9</v>
      </c>
      <c r="C211" s="1" t="s">
        <v>430</v>
      </c>
      <c r="D211" s="1" t="s">
        <v>79</v>
      </c>
      <c r="E211" s="1" t="s">
        <v>441</v>
      </c>
      <c r="F211">
        <v>8</v>
      </c>
      <c r="G211" t="s">
        <v>1249</v>
      </c>
      <c r="H211" t="s">
        <v>1250</v>
      </c>
      <c r="I211" t="s">
        <v>1143</v>
      </c>
      <c r="J211">
        <v>58</v>
      </c>
    </row>
    <row r="212" spans="1:10" ht="13" x14ac:dyDescent="0.15">
      <c r="A212" s="1">
        <v>211</v>
      </c>
      <c r="B212" s="1">
        <v>9</v>
      </c>
      <c r="C212" s="1" t="s">
        <v>438</v>
      </c>
      <c r="D212" s="1" t="s">
        <v>29</v>
      </c>
      <c r="E212" s="1" t="s">
        <v>443</v>
      </c>
      <c r="F212">
        <v>8</v>
      </c>
      <c r="G212" t="s">
        <v>1249</v>
      </c>
      <c r="H212" t="s">
        <v>1250</v>
      </c>
      <c r="I212" t="s">
        <v>1148</v>
      </c>
      <c r="J212">
        <v>-23</v>
      </c>
    </row>
    <row r="213" spans="1:10" ht="13" x14ac:dyDescent="0.15">
      <c r="A213" s="1">
        <v>212</v>
      </c>
      <c r="B213" s="1">
        <v>9</v>
      </c>
      <c r="C213" s="1" t="s">
        <v>470</v>
      </c>
      <c r="D213" s="1" t="s">
        <v>70</v>
      </c>
      <c r="E213" s="1" t="s">
        <v>457</v>
      </c>
      <c r="F213">
        <v>5</v>
      </c>
      <c r="G213" t="s">
        <v>1249</v>
      </c>
      <c r="H213" t="s">
        <v>1250</v>
      </c>
      <c r="I213" t="s">
        <v>1144</v>
      </c>
      <c r="J213">
        <v>-13</v>
      </c>
    </row>
    <row r="214" spans="1:10" ht="13" x14ac:dyDescent="0.15">
      <c r="A214" s="1">
        <v>213</v>
      </c>
      <c r="B214" s="1">
        <v>9</v>
      </c>
      <c r="C214" s="1" t="s">
        <v>464</v>
      </c>
      <c r="D214" s="1" t="s">
        <v>140</v>
      </c>
      <c r="E214" s="1" t="s">
        <v>465</v>
      </c>
      <c r="F214">
        <v>12</v>
      </c>
      <c r="G214" t="s">
        <v>1247</v>
      </c>
      <c r="H214" t="s">
        <v>1248</v>
      </c>
      <c r="I214" t="s">
        <v>1145</v>
      </c>
      <c r="J214">
        <v>-23</v>
      </c>
    </row>
    <row r="215" spans="1:10" ht="13" x14ac:dyDescent="0.15">
      <c r="A215" s="1">
        <v>214</v>
      </c>
      <c r="B215" s="1">
        <v>9</v>
      </c>
      <c r="C215" s="1" t="s">
        <v>506</v>
      </c>
      <c r="D215" s="1" t="s">
        <v>140</v>
      </c>
      <c r="E215" s="1" t="s">
        <v>447</v>
      </c>
      <c r="F215">
        <v>12</v>
      </c>
      <c r="G215" t="s">
        <v>1247</v>
      </c>
      <c r="H215" t="s">
        <v>1248</v>
      </c>
      <c r="I215" t="s">
        <v>1142</v>
      </c>
      <c r="J215">
        <v>35</v>
      </c>
    </row>
    <row r="216" spans="1:10" ht="13" x14ac:dyDescent="0.15">
      <c r="A216" s="1">
        <v>215</v>
      </c>
      <c r="B216" s="1">
        <v>9</v>
      </c>
      <c r="C216" s="1" t="s">
        <v>452</v>
      </c>
      <c r="D216" s="1" t="s">
        <v>41</v>
      </c>
      <c r="E216" s="1" t="s">
        <v>453</v>
      </c>
      <c r="F216">
        <v>6</v>
      </c>
      <c r="G216" t="s">
        <v>1247</v>
      </c>
      <c r="H216" t="s">
        <v>1248</v>
      </c>
      <c r="I216" t="s">
        <v>1142</v>
      </c>
      <c r="J216">
        <v>-13</v>
      </c>
    </row>
    <row r="217" spans="1:10" ht="13" x14ac:dyDescent="0.15">
      <c r="A217" s="1">
        <v>216</v>
      </c>
      <c r="B217" s="1">
        <v>9</v>
      </c>
      <c r="C217" s="1" t="s">
        <v>472</v>
      </c>
      <c r="D217" s="1" t="s">
        <v>35</v>
      </c>
      <c r="E217" s="1" t="s">
        <v>463</v>
      </c>
      <c r="F217">
        <v>8</v>
      </c>
      <c r="G217" t="s">
        <v>1249</v>
      </c>
      <c r="H217" t="s">
        <v>1250</v>
      </c>
      <c r="I217" t="s">
        <v>1142</v>
      </c>
      <c r="J217">
        <v>3</v>
      </c>
    </row>
    <row r="218" spans="1:10" ht="13" x14ac:dyDescent="0.15">
      <c r="A218" s="1">
        <v>217</v>
      </c>
      <c r="B218" s="1">
        <v>9</v>
      </c>
      <c r="C218" s="1" t="s">
        <v>462</v>
      </c>
      <c r="D218" s="1" t="s">
        <v>93</v>
      </c>
      <c r="E218" s="1" t="s">
        <v>471</v>
      </c>
      <c r="F218">
        <v>8</v>
      </c>
      <c r="G218" t="s">
        <v>1249</v>
      </c>
      <c r="H218" t="s">
        <v>1250</v>
      </c>
      <c r="I218" t="s">
        <v>1142</v>
      </c>
      <c r="J218">
        <v>-2</v>
      </c>
    </row>
    <row r="219" spans="1:10" ht="13" x14ac:dyDescent="0.15">
      <c r="A219" s="1">
        <v>218</v>
      </c>
      <c r="B219" s="1">
        <v>10</v>
      </c>
      <c r="C219" s="1" t="s">
        <v>532</v>
      </c>
      <c r="D219" s="1" t="s">
        <v>55</v>
      </c>
      <c r="E219" s="1" t="s">
        <v>527</v>
      </c>
      <c r="F219">
        <v>7</v>
      </c>
      <c r="G219" t="s">
        <v>1247</v>
      </c>
      <c r="H219" t="s">
        <v>1248</v>
      </c>
      <c r="I219" t="s">
        <v>1142</v>
      </c>
      <c r="J219">
        <v>10</v>
      </c>
    </row>
    <row r="220" spans="1:10" ht="13" x14ac:dyDescent="0.15">
      <c r="A220" s="1">
        <v>219</v>
      </c>
      <c r="B220" s="1">
        <v>10</v>
      </c>
      <c r="C220" s="1" t="s">
        <v>482</v>
      </c>
      <c r="D220" s="1" t="s">
        <v>73</v>
      </c>
      <c r="E220" s="1" t="s">
        <v>469</v>
      </c>
      <c r="F220">
        <v>9</v>
      </c>
      <c r="G220" t="s">
        <v>1247</v>
      </c>
      <c r="H220" t="s">
        <v>1248</v>
      </c>
      <c r="I220" t="s">
        <v>1142</v>
      </c>
      <c r="J220">
        <v>-36</v>
      </c>
    </row>
    <row r="221" spans="1:10" ht="13" x14ac:dyDescent="0.15">
      <c r="A221" s="1">
        <v>220</v>
      </c>
      <c r="B221" s="1">
        <v>10</v>
      </c>
      <c r="C221" s="1" t="s">
        <v>490</v>
      </c>
      <c r="D221" s="1" t="s">
        <v>41</v>
      </c>
      <c r="E221" s="1" t="s">
        <v>483</v>
      </c>
      <c r="F221">
        <v>6</v>
      </c>
      <c r="G221" t="s">
        <v>1247</v>
      </c>
      <c r="H221" t="s">
        <v>1248</v>
      </c>
      <c r="I221" t="s">
        <v>1142</v>
      </c>
      <c r="J221">
        <v>-38</v>
      </c>
    </row>
    <row r="222" spans="1:10" ht="13" x14ac:dyDescent="0.15">
      <c r="A222" s="1">
        <v>221</v>
      </c>
      <c r="B222" s="1">
        <v>10</v>
      </c>
      <c r="C222" s="1" t="s">
        <v>466</v>
      </c>
      <c r="D222" s="1" t="s">
        <v>67</v>
      </c>
      <c r="E222" s="1" t="s">
        <v>467</v>
      </c>
      <c r="F222">
        <v>11</v>
      </c>
      <c r="G222" t="s">
        <v>1247</v>
      </c>
      <c r="H222" t="s">
        <v>1248</v>
      </c>
      <c r="I222" t="s">
        <v>1143</v>
      </c>
      <c r="J222">
        <v>68</v>
      </c>
    </row>
    <row r="223" spans="1:10" ht="13" x14ac:dyDescent="0.15">
      <c r="A223" s="1">
        <v>222</v>
      </c>
      <c r="B223" s="1">
        <v>10</v>
      </c>
      <c r="C223" s="1" t="s">
        <v>500</v>
      </c>
      <c r="D223" s="1" t="s">
        <v>135</v>
      </c>
      <c r="E223" s="1" t="s">
        <v>501</v>
      </c>
      <c r="F223">
        <v>14</v>
      </c>
      <c r="G223" t="s">
        <v>1247</v>
      </c>
      <c r="H223" t="s">
        <v>1248</v>
      </c>
      <c r="I223" t="s">
        <v>1143</v>
      </c>
      <c r="J223">
        <v>43</v>
      </c>
    </row>
    <row r="224" spans="1:10" ht="13" x14ac:dyDescent="0.15">
      <c r="A224" s="1">
        <v>223</v>
      </c>
      <c r="B224" s="1">
        <v>10</v>
      </c>
      <c r="C224" s="1" t="s">
        <v>468</v>
      </c>
      <c r="D224" s="1" t="s">
        <v>132</v>
      </c>
      <c r="E224" s="1" t="s">
        <v>491</v>
      </c>
      <c r="F224">
        <v>5</v>
      </c>
      <c r="G224" t="s">
        <v>1247</v>
      </c>
      <c r="H224" t="s">
        <v>1248</v>
      </c>
      <c r="I224" t="s">
        <v>1148</v>
      </c>
      <c r="J224">
        <v>-44</v>
      </c>
    </row>
    <row r="225" spans="1:10" ht="13" x14ac:dyDescent="0.15">
      <c r="A225" s="1">
        <v>224</v>
      </c>
      <c r="B225" s="1">
        <v>10</v>
      </c>
      <c r="C225" s="1" t="s">
        <v>456</v>
      </c>
      <c r="D225" s="1" t="s">
        <v>76</v>
      </c>
      <c r="E225" s="1" t="s">
        <v>473</v>
      </c>
      <c r="F225">
        <v>12</v>
      </c>
      <c r="G225" t="s">
        <v>1249</v>
      </c>
      <c r="H225" t="s">
        <v>1250</v>
      </c>
      <c r="I225" t="s">
        <v>1145</v>
      </c>
      <c r="J225">
        <v>34</v>
      </c>
    </row>
    <row r="226" spans="1:10" ht="13" x14ac:dyDescent="0.15">
      <c r="A226" s="1">
        <v>225</v>
      </c>
      <c r="B226" s="1">
        <v>10</v>
      </c>
      <c r="C226" s="1" t="s">
        <v>520</v>
      </c>
      <c r="D226" s="1" t="s">
        <v>122</v>
      </c>
      <c r="E226" s="1" t="s">
        <v>509</v>
      </c>
      <c r="F226">
        <v>11</v>
      </c>
      <c r="G226" t="s">
        <v>1247</v>
      </c>
      <c r="H226" t="s">
        <v>1248</v>
      </c>
      <c r="I226" t="s">
        <v>1142</v>
      </c>
      <c r="J226">
        <v>57</v>
      </c>
    </row>
    <row r="227" spans="1:10" ht="13" x14ac:dyDescent="0.15">
      <c r="A227" s="1">
        <v>226</v>
      </c>
      <c r="B227" s="1">
        <v>10</v>
      </c>
      <c r="C227" s="1" t="s">
        <v>567</v>
      </c>
      <c r="D227" s="1" t="s">
        <v>67</v>
      </c>
      <c r="E227" s="1" t="s">
        <v>475</v>
      </c>
      <c r="F227">
        <v>11</v>
      </c>
      <c r="G227" t="s">
        <v>1247</v>
      </c>
      <c r="H227" t="s">
        <v>1248</v>
      </c>
      <c r="I227" t="s">
        <v>1142</v>
      </c>
      <c r="J227">
        <v>31</v>
      </c>
    </row>
    <row r="228" spans="1:10" ht="13" x14ac:dyDescent="0.15">
      <c r="A228" s="1">
        <v>227</v>
      </c>
      <c r="B228" s="1">
        <v>10</v>
      </c>
      <c r="C228" s="1" t="s">
        <v>498</v>
      </c>
      <c r="D228" s="1" t="s">
        <v>151</v>
      </c>
      <c r="E228" s="1" t="s">
        <v>499</v>
      </c>
      <c r="F228">
        <v>10</v>
      </c>
      <c r="G228" t="s">
        <v>1247</v>
      </c>
      <c r="H228" t="s">
        <v>1248</v>
      </c>
      <c r="I228" t="s">
        <v>1142</v>
      </c>
      <c r="J228">
        <v>-46</v>
      </c>
    </row>
    <row r="229" spans="1:10" ht="13" x14ac:dyDescent="0.15">
      <c r="A229" s="1">
        <v>228</v>
      </c>
      <c r="B229" s="1">
        <v>10</v>
      </c>
      <c r="C229" s="1" t="s">
        <v>450</v>
      </c>
      <c r="D229" s="1" t="s">
        <v>32</v>
      </c>
      <c r="E229" s="1" t="s">
        <v>529</v>
      </c>
      <c r="F229">
        <v>10</v>
      </c>
      <c r="G229" t="s">
        <v>1247</v>
      </c>
      <c r="H229" t="s">
        <v>1248</v>
      </c>
      <c r="I229" t="s">
        <v>1144</v>
      </c>
      <c r="J229">
        <v>20</v>
      </c>
    </row>
    <row r="230" spans="1:10" ht="13" x14ac:dyDescent="0.15">
      <c r="A230" s="1">
        <v>229</v>
      </c>
      <c r="B230" s="1">
        <v>10</v>
      </c>
      <c r="C230" s="1" t="s">
        <v>398</v>
      </c>
      <c r="D230" s="1" t="s">
        <v>70</v>
      </c>
      <c r="E230" s="1" t="s">
        <v>533</v>
      </c>
      <c r="F230">
        <v>5</v>
      </c>
      <c r="G230" t="s">
        <v>1247</v>
      </c>
      <c r="H230" t="s">
        <v>1248</v>
      </c>
      <c r="I230" t="s">
        <v>1143</v>
      </c>
      <c r="J230">
        <v>67</v>
      </c>
    </row>
    <row r="231" spans="1:10" ht="13" x14ac:dyDescent="0.15">
      <c r="A231" s="1">
        <v>230</v>
      </c>
      <c r="B231" s="1">
        <v>10</v>
      </c>
      <c r="C231" s="1" t="s">
        <v>484</v>
      </c>
      <c r="D231" s="1" t="s">
        <v>41</v>
      </c>
      <c r="E231" s="1" t="s">
        <v>479</v>
      </c>
      <c r="F231">
        <v>6</v>
      </c>
      <c r="G231" t="s">
        <v>1247</v>
      </c>
      <c r="H231" t="s">
        <v>1248</v>
      </c>
      <c r="I231" t="s">
        <v>1143</v>
      </c>
      <c r="J231">
        <v>39</v>
      </c>
    </row>
    <row r="232" spans="1:10" ht="13" x14ac:dyDescent="0.15">
      <c r="A232" s="1">
        <v>231</v>
      </c>
      <c r="B232" s="1">
        <v>10</v>
      </c>
      <c r="C232" s="1" t="s">
        <v>478</v>
      </c>
      <c r="D232" s="1" t="s">
        <v>17</v>
      </c>
      <c r="E232" s="1" t="s">
        <v>485</v>
      </c>
      <c r="F232">
        <v>10</v>
      </c>
      <c r="G232" t="s">
        <v>1247</v>
      </c>
      <c r="H232" t="s">
        <v>1248</v>
      </c>
      <c r="I232" t="s">
        <v>1142</v>
      </c>
      <c r="J232">
        <v>50</v>
      </c>
    </row>
    <row r="233" spans="1:10" ht="13" x14ac:dyDescent="0.15">
      <c r="A233" s="1">
        <v>232</v>
      </c>
      <c r="B233" s="1">
        <v>10</v>
      </c>
      <c r="C233" s="1" t="s">
        <v>502</v>
      </c>
      <c r="D233" s="1" t="s">
        <v>17</v>
      </c>
      <c r="E233" s="1" t="s">
        <v>503</v>
      </c>
      <c r="F233">
        <v>10</v>
      </c>
      <c r="G233" t="s">
        <v>1247</v>
      </c>
      <c r="H233" t="s">
        <v>1248</v>
      </c>
      <c r="I233" t="s">
        <v>1148</v>
      </c>
      <c r="J233">
        <v>-31</v>
      </c>
    </row>
    <row r="234" spans="1:10" ht="13" x14ac:dyDescent="0.15">
      <c r="A234" s="1">
        <v>233</v>
      </c>
      <c r="B234" s="1">
        <v>10</v>
      </c>
      <c r="C234" s="1" t="s">
        <v>512</v>
      </c>
      <c r="D234" s="1" t="s">
        <v>49</v>
      </c>
      <c r="E234" s="1" t="s">
        <v>493</v>
      </c>
      <c r="F234">
        <v>14</v>
      </c>
      <c r="G234" t="s">
        <v>1249</v>
      </c>
      <c r="H234" t="s">
        <v>1250</v>
      </c>
      <c r="I234" t="s">
        <v>1145</v>
      </c>
      <c r="J234">
        <v>-46</v>
      </c>
    </row>
    <row r="235" spans="1:10" ht="13" x14ac:dyDescent="0.15">
      <c r="A235" s="1">
        <v>234</v>
      </c>
      <c r="B235" s="1">
        <v>10</v>
      </c>
      <c r="C235" s="1" t="s">
        <v>526</v>
      </c>
      <c r="D235" s="1" t="s">
        <v>17</v>
      </c>
      <c r="E235" s="1" t="s">
        <v>538</v>
      </c>
      <c r="F235">
        <v>10</v>
      </c>
      <c r="G235" t="s">
        <v>1247</v>
      </c>
      <c r="H235" t="s">
        <v>1248</v>
      </c>
      <c r="I235" t="s">
        <v>1142</v>
      </c>
      <c r="J235">
        <v>4</v>
      </c>
    </row>
    <row r="236" spans="1:10" ht="13" x14ac:dyDescent="0.15">
      <c r="A236" s="1">
        <v>235</v>
      </c>
      <c r="B236" s="1">
        <v>10</v>
      </c>
      <c r="C236" s="1" t="s">
        <v>514</v>
      </c>
      <c r="D236" s="1" t="s">
        <v>84</v>
      </c>
      <c r="E236" s="1" t="s">
        <v>515</v>
      </c>
      <c r="F236">
        <v>7</v>
      </c>
      <c r="G236" t="s">
        <v>1247</v>
      </c>
      <c r="H236" t="s">
        <v>1248</v>
      </c>
      <c r="I236" t="s">
        <v>1144</v>
      </c>
      <c r="J236">
        <v>-41</v>
      </c>
    </row>
    <row r="237" spans="1:10" ht="13" x14ac:dyDescent="0.15">
      <c r="A237" s="1">
        <v>236</v>
      </c>
      <c r="B237" s="1">
        <v>10</v>
      </c>
      <c r="C237" s="1" t="s">
        <v>488</v>
      </c>
      <c r="D237" s="1" t="s">
        <v>132</v>
      </c>
      <c r="E237" s="1" t="s">
        <v>489</v>
      </c>
      <c r="F237">
        <v>5</v>
      </c>
      <c r="G237" t="s">
        <v>1247</v>
      </c>
      <c r="H237" t="s">
        <v>1248</v>
      </c>
      <c r="I237" t="s">
        <v>1143</v>
      </c>
      <c r="J237">
        <v>76</v>
      </c>
    </row>
    <row r="238" spans="1:10" ht="13" x14ac:dyDescent="0.15">
      <c r="A238" s="1">
        <v>237</v>
      </c>
      <c r="B238" s="1">
        <v>10</v>
      </c>
      <c r="C238" s="1" t="s">
        <v>504</v>
      </c>
      <c r="D238" s="1" t="s">
        <v>164</v>
      </c>
      <c r="E238" s="1" t="s">
        <v>495</v>
      </c>
      <c r="F238">
        <v>10</v>
      </c>
      <c r="G238" t="s">
        <v>1247</v>
      </c>
      <c r="H238" t="s">
        <v>1248</v>
      </c>
      <c r="I238" t="s">
        <v>1143</v>
      </c>
      <c r="J238">
        <v>26</v>
      </c>
    </row>
    <row r="239" spans="1:10" ht="13" x14ac:dyDescent="0.15">
      <c r="A239" s="1">
        <v>238</v>
      </c>
      <c r="B239" s="1">
        <v>10</v>
      </c>
      <c r="C239" s="1" t="s">
        <v>508</v>
      </c>
      <c r="D239" s="1" t="s">
        <v>93</v>
      </c>
      <c r="E239" s="1" t="s">
        <v>521</v>
      </c>
      <c r="F239">
        <v>8</v>
      </c>
      <c r="G239" t="s">
        <v>1247</v>
      </c>
      <c r="H239" t="s">
        <v>1248</v>
      </c>
      <c r="I239" t="s">
        <v>1143</v>
      </c>
      <c r="J239">
        <v>-43</v>
      </c>
    </row>
    <row r="240" spans="1:10" ht="13" x14ac:dyDescent="0.15">
      <c r="A240" s="1">
        <v>239</v>
      </c>
      <c r="B240" s="1">
        <v>10</v>
      </c>
      <c r="C240" s="1" t="s">
        <v>650</v>
      </c>
      <c r="D240" s="1" t="s">
        <v>93</v>
      </c>
      <c r="E240" s="1" t="s">
        <v>505</v>
      </c>
      <c r="F240">
        <v>8</v>
      </c>
      <c r="G240" t="s">
        <v>1247</v>
      </c>
      <c r="H240" t="s">
        <v>1248</v>
      </c>
      <c r="I240" t="s">
        <v>1142</v>
      </c>
      <c r="J240">
        <v>0</v>
      </c>
    </row>
    <row r="241" spans="1:10" ht="13" x14ac:dyDescent="0.15">
      <c r="A241" s="1">
        <v>240</v>
      </c>
      <c r="B241" s="1">
        <v>10</v>
      </c>
      <c r="C241" s="1" t="s">
        <v>492</v>
      </c>
      <c r="D241" s="1" t="s">
        <v>98</v>
      </c>
      <c r="E241" s="1" t="s">
        <v>513</v>
      </c>
      <c r="F241">
        <v>9</v>
      </c>
      <c r="G241" t="s">
        <v>1249</v>
      </c>
      <c r="H241" t="s">
        <v>1250</v>
      </c>
      <c r="I241" t="s">
        <v>1145</v>
      </c>
      <c r="J241">
        <v>-18</v>
      </c>
    </row>
    <row r="242" spans="1:10" ht="13" x14ac:dyDescent="0.15">
      <c r="A242" s="1">
        <v>241</v>
      </c>
      <c r="B242" s="1">
        <v>10</v>
      </c>
      <c r="C242" s="1" t="s">
        <v>569</v>
      </c>
      <c r="D242" s="1" t="s">
        <v>73</v>
      </c>
      <c r="E242" s="1" t="s">
        <v>544</v>
      </c>
      <c r="F242">
        <v>9</v>
      </c>
      <c r="G242" t="s">
        <v>1247</v>
      </c>
      <c r="H242" t="s">
        <v>1248</v>
      </c>
      <c r="I242" t="s">
        <v>1142</v>
      </c>
      <c r="J242">
        <v>44</v>
      </c>
    </row>
    <row r="243" spans="1:10" ht="13" x14ac:dyDescent="0.15">
      <c r="A243" s="1">
        <v>242</v>
      </c>
      <c r="B243" s="1">
        <v>10</v>
      </c>
      <c r="C243" s="1" t="s">
        <v>543</v>
      </c>
      <c r="D243" s="1" t="s">
        <v>151</v>
      </c>
      <c r="E243" s="1" t="s">
        <v>550</v>
      </c>
      <c r="F243">
        <v>10</v>
      </c>
      <c r="G243" t="s">
        <v>1247</v>
      </c>
      <c r="H243" t="s">
        <v>1248</v>
      </c>
      <c r="I243" t="s">
        <v>1144</v>
      </c>
      <c r="J243">
        <v>5</v>
      </c>
    </row>
    <row r="244" spans="1:10" ht="13" x14ac:dyDescent="0.15">
      <c r="A244" s="1">
        <v>243</v>
      </c>
      <c r="B244" s="1">
        <v>10</v>
      </c>
      <c r="C244" s="1" t="s">
        <v>522</v>
      </c>
      <c r="D244" s="1" t="s">
        <v>23</v>
      </c>
      <c r="E244" s="1" t="s">
        <v>523</v>
      </c>
      <c r="F244">
        <v>9</v>
      </c>
      <c r="G244" t="s">
        <v>1247</v>
      </c>
      <c r="H244" t="s">
        <v>1248</v>
      </c>
      <c r="I244" t="s">
        <v>1144</v>
      </c>
      <c r="J244">
        <v>-45</v>
      </c>
    </row>
    <row r="245" spans="1:10" ht="13" x14ac:dyDescent="0.15">
      <c r="A245" s="1">
        <v>244</v>
      </c>
      <c r="B245" s="1">
        <v>10</v>
      </c>
      <c r="C245" s="1" t="s">
        <v>420</v>
      </c>
      <c r="D245" s="1" t="s">
        <v>52</v>
      </c>
      <c r="E245" s="1" t="s">
        <v>507</v>
      </c>
      <c r="F245">
        <v>8</v>
      </c>
      <c r="G245" t="s">
        <v>1247</v>
      </c>
      <c r="H245" t="s">
        <v>1248</v>
      </c>
      <c r="I245" t="s">
        <v>1143</v>
      </c>
      <c r="J245">
        <v>-9</v>
      </c>
    </row>
    <row r="246" spans="1:10" ht="13" x14ac:dyDescent="0.15">
      <c r="A246" s="1">
        <v>245</v>
      </c>
      <c r="B246" s="1">
        <v>10</v>
      </c>
      <c r="C246" s="1" t="s">
        <v>555</v>
      </c>
      <c r="D246" s="1" t="s">
        <v>132</v>
      </c>
      <c r="E246" s="1" t="s">
        <v>519</v>
      </c>
      <c r="F246">
        <v>5</v>
      </c>
      <c r="G246" t="s">
        <v>1247</v>
      </c>
      <c r="H246" t="s">
        <v>1248</v>
      </c>
      <c r="I246" t="s">
        <v>1143</v>
      </c>
      <c r="J246">
        <v>28</v>
      </c>
    </row>
    <row r="247" spans="1:10" ht="13" x14ac:dyDescent="0.15">
      <c r="A247" s="1">
        <v>246</v>
      </c>
      <c r="B247" s="1">
        <v>10</v>
      </c>
      <c r="C247" s="1" t="s">
        <v>668</v>
      </c>
      <c r="D247" s="1" t="s">
        <v>29</v>
      </c>
      <c r="E247" s="1" t="s">
        <v>536</v>
      </c>
      <c r="F247">
        <v>8</v>
      </c>
      <c r="G247" t="s">
        <v>1247</v>
      </c>
      <c r="H247" t="s">
        <v>1248</v>
      </c>
      <c r="I247" t="s">
        <v>1142</v>
      </c>
      <c r="J247">
        <v>-35</v>
      </c>
    </row>
    <row r="248" spans="1:10" ht="13" x14ac:dyDescent="0.15">
      <c r="A248" s="1">
        <v>247</v>
      </c>
      <c r="B248" s="1">
        <v>10</v>
      </c>
      <c r="C248" s="1" t="s">
        <v>524</v>
      </c>
      <c r="D248" s="1" t="s">
        <v>35</v>
      </c>
      <c r="E248" s="1" t="s">
        <v>552</v>
      </c>
      <c r="F248">
        <v>8</v>
      </c>
      <c r="G248" t="s">
        <v>1247</v>
      </c>
      <c r="H248" t="s">
        <v>1248</v>
      </c>
      <c r="I248" t="s">
        <v>1142</v>
      </c>
      <c r="J248">
        <v>6</v>
      </c>
    </row>
    <row r="249" spans="1:10" ht="13" x14ac:dyDescent="0.15">
      <c r="A249" s="1">
        <v>248</v>
      </c>
      <c r="B249" s="1">
        <v>10</v>
      </c>
      <c r="C249" s="1" t="s">
        <v>516</v>
      </c>
      <c r="D249" s="1" t="s">
        <v>38</v>
      </c>
      <c r="E249" s="1" t="s">
        <v>517</v>
      </c>
      <c r="F249">
        <v>14</v>
      </c>
      <c r="G249" t="s">
        <v>1247</v>
      </c>
      <c r="H249" t="s">
        <v>1248</v>
      </c>
      <c r="I249" t="s">
        <v>1148</v>
      </c>
      <c r="J249">
        <v>3</v>
      </c>
    </row>
    <row r="250" spans="1:10" ht="13" x14ac:dyDescent="0.15">
      <c r="A250" s="1">
        <v>249</v>
      </c>
      <c r="B250" s="1">
        <v>10</v>
      </c>
      <c r="C250" s="1" t="s">
        <v>587</v>
      </c>
      <c r="D250" s="1" t="s">
        <v>46</v>
      </c>
      <c r="E250" s="1" t="s">
        <v>546</v>
      </c>
      <c r="F250">
        <v>8</v>
      </c>
      <c r="G250" t="s">
        <v>1247</v>
      </c>
      <c r="H250" t="s">
        <v>1248</v>
      </c>
      <c r="I250" t="s">
        <v>1143</v>
      </c>
      <c r="J250">
        <v>31</v>
      </c>
    </row>
    <row r="251" spans="1:10" ht="13" x14ac:dyDescent="0.15">
      <c r="A251" s="1">
        <v>250</v>
      </c>
      <c r="B251" s="1">
        <v>10</v>
      </c>
      <c r="C251" s="1" t="s">
        <v>436</v>
      </c>
      <c r="D251" s="1" t="s">
        <v>70</v>
      </c>
      <c r="E251" s="1" t="s">
        <v>554</v>
      </c>
      <c r="F251">
        <v>5</v>
      </c>
      <c r="G251" t="s">
        <v>1247</v>
      </c>
      <c r="H251" t="s">
        <v>1248</v>
      </c>
      <c r="I251" t="s">
        <v>1144</v>
      </c>
      <c r="J251">
        <v>59</v>
      </c>
    </row>
    <row r="252" spans="1:10" ht="13" x14ac:dyDescent="0.15">
      <c r="A252" s="1">
        <v>251</v>
      </c>
      <c r="B252" s="1">
        <v>10</v>
      </c>
      <c r="C252" s="1" t="s">
        <v>672</v>
      </c>
      <c r="D252" s="1" t="s">
        <v>52</v>
      </c>
      <c r="E252" s="1" t="s">
        <v>556</v>
      </c>
      <c r="F252">
        <v>8</v>
      </c>
      <c r="G252" t="s">
        <v>1247</v>
      </c>
      <c r="H252" t="s">
        <v>1248</v>
      </c>
      <c r="I252" t="s">
        <v>1143</v>
      </c>
      <c r="J252">
        <v>-35</v>
      </c>
    </row>
    <row r="253" spans="1:10" ht="13" x14ac:dyDescent="0.15">
      <c r="A253" s="1">
        <v>252</v>
      </c>
      <c r="B253" s="1">
        <v>10</v>
      </c>
      <c r="C253" s="1" t="s">
        <v>740</v>
      </c>
      <c r="D253" s="1" t="s">
        <v>122</v>
      </c>
      <c r="E253" s="1" t="s">
        <v>568</v>
      </c>
      <c r="F253">
        <v>11</v>
      </c>
      <c r="G253" t="s">
        <v>1247</v>
      </c>
      <c r="H253" t="s">
        <v>1248</v>
      </c>
      <c r="I253" t="s">
        <v>1145</v>
      </c>
      <c r="J253">
        <v>10</v>
      </c>
    </row>
    <row r="254" spans="1:10" ht="13" x14ac:dyDescent="0.15">
      <c r="A254" s="1">
        <v>253</v>
      </c>
      <c r="B254" s="1">
        <v>10</v>
      </c>
      <c r="C254" s="1" t="s">
        <v>539</v>
      </c>
      <c r="D254" s="1" t="s">
        <v>125</v>
      </c>
      <c r="E254" s="1" t="s">
        <v>540</v>
      </c>
      <c r="F254">
        <v>5</v>
      </c>
      <c r="G254" t="s">
        <v>1247</v>
      </c>
      <c r="H254" t="s">
        <v>1248</v>
      </c>
      <c r="I254" t="s">
        <v>1143</v>
      </c>
      <c r="J254">
        <v>69</v>
      </c>
    </row>
    <row r="255" spans="1:10" ht="13" x14ac:dyDescent="0.15">
      <c r="A255" s="1">
        <v>254</v>
      </c>
      <c r="B255" s="1">
        <v>10</v>
      </c>
      <c r="C255" s="1" t="s">
        <v>619</v>
      </c>
      <c r="D255" s="1" t="s">
        <v>38</v>
      </c>
      <c r="E255" s="1" t="s">
        <v>594</v>
      </c>
      <c r="F255">
        <v>14</v>
      </c>
      <c r="G255" t="s">
        <v>1247</v>
      </c>
      <c r="H255" t="s">
        <v>1248</v>
      </c>
      <c r="I255" t="s">
        <v>1144</v>
      </c>
      <c r="J255">
        <v>29</v>
      </c>
    </row>
    <row r="256" spans="1:10" ht="13" x14ac:dyDescent="0.15">
      <c r="A256" s="1">
        <v>255</v>
      </c>
      <c r="B256" s="1">
        <v>10</v>
      </c>
      <c r="C256" s="1" t="s">
        <v>557</v>
      </c>
      <c r="D256" s="1" t="s">
        <v>73</v>
      </c>
      <c r="E256" s="1" t="s">
        <v>542</v>
      </c>
      <c r="F256">
        <v>9</v>
      </c>
      <c r="G256" t="s">
        <v>1249</v>
      </c>
      <c r="H256" t="s">
        <v>1250</v>
      </c>
      <c r="I256" t="s">
        <v>1142</v>
      </c>
      <c r="J256">
        <v>-47</v>
      </c>
    </row>
    <row r="257" spans="1:10" ht="13" x14ac:dyDescent="0.15">
      <c r="A257" s="1">
        <v>256</v>
      </c>
      <c r="B257" s="1">
        <v>10</v>
      </c>
      <c r="C257" s="1" t="s">
        <v>545</v>
      </c>
      <c r="D257" s="1" t="s">
        <v>151</v>
      </c>
      <c r="E257" s="1" t="s">
        <v>560</v>
      </c>
      <c r="F257">
        <v>10</v>
      </c>
      <c r="G257" t="s">
        <v>1247</v>
      </c>
      <c r="H257" t="s">
        <v>1248</v>
      </c>
      <c r="I257" t="s">
        <v>1142</v>
      </c>
      <c r="J257">
        <v>20</v>
      </c>
    </row>
    <row r="258" spans="1:10" ht="13" x14ac:dyDescent="0.15">
      <c r="A258" s="1">
        <v>257</v>
      </c>
      <c r="B258" s="1">
        <v>10</v>
      </c>
      <c r="C258" s="1" t="s">
        <v>547</v>
      </c>
      <c r="D258" s="1" t="s">
        <v>20</v>
      </c>
      <c r="E258" s="1" t="s">
        <v>531</v>
      </c>
      <c r="F258">
        <v>5</v>
      </c>
      <c r="G258" t="s">
        <v>1247</v>
      </c>
      <c r="H258" t="s">
        <v>1248</v>
      </c>
      <c r="I258" t="s">
        <v>1143</v>
      </c>
      <c r="J258">
        <v>-45</v>
      </c>
    </row>
    <row r="259" spans="1:10" ht="13" x14ac:dyDescent="0.15">
      <c r="A259" s="1">
        <v>258</v>
      </c>
      <c r="B259" s="1">
        <v>10</v>
      </c>
      <c r="C259" s="1" t="s">
        <v>589</v>
      </c>
      <c r="D259" s="1" t="s">
        <v>58</v>
      </c>
      <c r="E259" s="1" t="s">
        <v>574</v>
      </c>
      <c r="F259">
        <v>12</v>
      </c>
      <c r="G259" t="s">
        <v>1247</v>
      </c>
      <c r="H259" t="s">
        <v>1248</v>
      </c>
      <c r="I259" t="s">
        <v>1142</v>
      </c>
      <c r="J259">
        <v>69</v>
      </c>
    </row>
    <row r="260" spans="1:10" ht="13" x14ac:dyDescent="0.15">
      <c r="A260" s="1">
        <v>259</v>
      </c>
      <c r="B260" s="1">
        <v>10</v>
      </c>
      <c r="C260" s="1" t="s">
        <v>585</v>
      </c>
      <c r="D260" s="1" t="s">
        <v>103</v>
      </c>
      <c r="E260" s="1" t="s">
        <v>548</v>
      </c>
      <c r="F260">
        <v>12</v>
      </c>
      <c r="G260" t="s">
        <v>1247</v>
      </c>
      <c r="H260" t="s">
        <v>1248</v>
      </c>
      <c r="I260" t="s">
        <v>1142</v>
      </c>
      <c r="J260">
        <v>-42</v>
      </c>
    </row>
    <row r="261" spans="1:10" ht="13" x14ac:dyDescent="0.15">
      <c r="A261" s="1">
        <v>260</v>
      </c>
      <c r="B261" s="1">
        <v>10</v>
      </c>
      <c r="C261" s="1" t="s">
        <v>605</v>
      </c>
      <c r="D261" s="1" t="s">
        <v>194</v>
      </c>
      <c r="E261" s="1" t="s">
        <v>606</v>
      </c>
      <c r="F261">
        <v>9</v>
      </c>
      <c r="G261" t="s">
        <v>1247</v>
      </c>
      <c r="H261" t="s">
        <v>1248</v>
      </c>
      <c r="I261" t="s">
        <v>1144</v>
      </c>
      <c r="J261">
        <v>0</v>
      </c>
    </row>
    <row r="262" spans="1:10" ht="13" x14ac:dyDescent="0.15">
      <c r="A262" s="1">
        <v>261</v>
      </c>
      <c r="B262" s="1">
        <v>10</v>
      </c>
      <c r="C262" s="1" t="s">
        <v>528</v>
      </c>
      <c r="D262" s="1" t="s">
        <v>52</v>
      </c>
      <c r="E262" s="1" t="s">
        <v>562</v>
      </c>
      <c r="F262">
        <v>8</v>
      </c>
      <c r="G262" t="s">
        <v>1247</v>
      </c>
      <c r="H262" t="s">
        <v>1248</v>
      </c>
      <c r="I262" t="s">
        <v>1144</v>
      </c>
      <c r="J262">
        <v>-11</v>
      </c>
    </row>
    <row r="263" spans="1:10" ht="13" x14ac:dyDescent="0.15">
      <c r="A263" s="1">
        <v>262</v>
      </c>
      <c r="B263" s="1">
        <v>10</v>
      </c>
      <c r="C263" s="1" t="s">
        <v>480</v>
      </c>
      <c r="D263" s="1" t="s">
        <v>122</v>
      </c>
      <c r="E263" s="1" t="s">
        <v>564</v>
      </c>
      <c r="F263">
        <v>11</v>
      </c>
      <c r="G263" t="s">
        <v>1247</v>
      </c>
      <c r="H263" t="s">
        <v>1248</v>
      </c>
      <c r="I263" t="s">
        <v>1143</v>
      </c>
      <c r="J263">
        <v>41</v>
      </c>
    </row>
    <row r="264" spans="1:10" ht="13" x14ac:dyDescent="0.15">
      <c r="A264" s="1">
        <v>263</v>
      </c>
      <c r="B264" s="1">
        <v>10</v>
      </c>
      <c r="C264" s="1" t="s">
        <v>613</v>
      </c>
      <c r="D264" s="1" t="s">
        <v>194</v>
      </c>
      <c r="E264" s="1" t="s">
        <v>614</v>
      </c>
      <c r="F264">
        <v>9</v>
      </c>
      <c r="G264" t="s">
        <v>1247</v>
      </c>
      <c r="H264" t="s">
        <v>1248</v>
      </c>
      <c r="I264" t="s">
        <v>1142</v>
      </c>
      <c r="J264">
        <v>15</v>
      </c>
    </row>
    <row r="265" spans="1:10" ht="13" x14ac:dyDescent="0.15">
      <c r="A265" s="1">
        <v>264</v>
      </c>
      <c r="B265" s="1">
        <v>10</v>
      </c>
      <c r="C265" s="1" t="s">
        <v>365</v>
      </c>
      <c r="D265" s="1" t="s">
        <v>73</v>
      </c>
      <c r="E265" s="1" t="s">
        <v>576</v>
      </c>
      <c r="F265">
        <v>9</v>
      </c>
      <c r="G265" t="s">
        <v>1247</v>
      </c>
      <c r="H265" t="s">
        <v>1248</v>
      </c>
      <c r="I265" t="s">
        <v>1142</v>
      </c>
      <c r="J265">
        <v>8</v>
      </c>
    </row>
    <row r="266" spans="1:10" ht="13" x14ac:dyDescent="0.15">
      <c r="A266" s="1">
        <v>265</v>
      </c>
      <c r="B266" s="1">
        <v>10</v>
      </c>
      <c r="C266" s="1" t="s">
        <v>510</v>
      </c>
      <c r="D266" s="1" t="s">
        <v>140</v>
      </c>
      <c r="E266" s="1" t="s">
        <v>566</v>
      </c>
      <c r="F266">
        <v>12</v>
      </c>
      <c r="G266" t="s">
        <v>1247</v>
      </c>
      <c r="H266" t="s">
        <v>1248</v>
      </c>
      <c r="I266" t="s">
        <v>1144</v>
      </c>
      <c r="J266">
        <v>54</v>
      </c>
    </row>
    <row r="267" spans="1:10" ht="13" x14ac:dyDescent="0.15">
      <c r="A267" s="1">
        <v>266</v>
      </c>
      <c r="B267" s="1">
        <v>10</v>
      </c>
      <c r="C267" s="1" t="s">
        <v>607</v>
      </c>
      <c r="D267" s="1" t="s">
        <v>122</v>
      </c>
      <c r="E267" s="1" t="s">
        <v>608</v>
      </c>
      <c r="F267">
        <v>11</v>
      </c>
      <c r="G267" t="s">
        <v>1247</v>
      </c>
      <c r="H267" t="s">
        <v>1248</v>
      </c>
      <c r="I267" t="s">
        <v>1145</v>
      </c>
      <c r="J267">
        <v>31</v>
      </c>
    </row>
    <row r="268" spans="1:10" ht="13" x14ac:dyDescent="0.15">
      <c r="A268" s="1">
        <v>267</v>
      </c>
      <c r="B268" s="1">
        <v>10</v>
      </c>
      <c r="C268" s="1" t="s">
        <v>561</v>
      </c>
      <c r="D268" s="1" t="s">
        <v>132</v>
      </c>
      <c r="E268" s="1" t="s">
        <v>570</v>
      </c>
      <c r="F268">
        <v>5</v>
      </c>
      <c r="G268" t="s">
        <v>1247</v>
      </c>
      <c r="H268" t="s">
        <v>1248</v>
      </c>
      <c r="I268" t="s">
        <v>1142</v>
      </c>
      <c r="J268">
        <v>20</v>
      </c>
    </row>
    <row r="269" spans="1:10" ht="13" x14ac:dyDescent="0.15">
      <c r="A269" s="1">
        <v>268</v>
      </c>
      <c r="B269" s="1">
        <v>10</v>
      </c>
      <c r="C269" s="1" t="s">
        <v>518</v>
      </c>
      <c r="D269" s="1" t="s">
        <v>122</v>
      </c>
      <c r="E269" s="1" t="s">
        <v>582</v>
      </c>
      <c r="F269">
        <v>11</v>
      </c>
      <c r="G269" t="s">
        <v>1247</v>
      </c>
      <c r="H269" t="s">
        <v>1248</v>
      </c>
      <c r="I269" t="s">
        <v>1143</v>
      </c>
      <c r="J269" t="s">
        <v>1150</v>
      </c>
    </row>
    <row r="270" spans="1:10" ht="13" x14ac:dyDescent="0.15">
      <c r="A270" s="1">
        <v>269</v>
      </c>
      <c r="B270" s="1">
        <v>10</v>
      </c>
      <c r="C270" s="1" t="s">
        <v>609</v>
      </c>
      <c r="D270" s="1" t="s">
        <v>52</v>
      </c>
      <c r="E270" s="1" t="s">
        <v>588</v>
      </c>
      <c r="F270">
        <v>8</v>
      </c>
      <c r="G270" t="s">
        <v>1247</v>
      </c>
      <c r="H270" t="s">
        <v>1248</v>
      </c>
      <c r="I270" t="s">
        <v>1143</v>
      </c>
      <c r="J270">
        <v>-36</v>
      </c>
    </row>
    <row r="271" spans="1:10" ht="13" x14ac:dyDescent="0.15">
      <c r="A271" s="1">
        <v>270</v>
      </c>
      <c r="B271" s="1">
        <v>10</v>
      </c>
      <c r="C271" s="1" t="s">
        <v>591</v>
      </c>
      <c r="D271" s="1" t="s">
        <v>171</v>
      </c>
      <c r="E271" s="1" t="s">
        <v>590</v>
      </c>
      <c r="F271">
        <v>14</v>
      </c>
      <c r="G271" t="s">
        <v>1247</v>
      </c>
      <c r="H271" t="s">
        <v>1248</v>
      </c>
      <c r="I271" t="s">
        <v>1142</v>
      </c>
      <c r="J271">
        <v>37</v>
      </c>
    </row>
    <row r="272" spans="1:10" ht="13" x14ac:dyDescent="0.15">
      <c r="A272" s="1">
        <v>271</v>
      </c>
      <c r="B272" s="1">
        <v>10</v>
      </c>
      <c r="C272" s="1" t="s">
        <v>474</v>
      </c>
      <c r="D272" s="1" t="s">
        <v>67</v>
      </c>
      <c r="E272" s="1" t="s">
        <v>616</v>
      </c>
      <c r="F272">
        <v>11</v>
      </c>
      <c r="G272" t="s">
        <v>1247</v>
      </c>
      <c r="H272" t="s">
        <v>1248</v>
      </c>
      <c r="I272" t="s">
        <v>1142</v>
      </c>
      <c r="J272">
        <v>-28</v>
      </c>
    </row>
    <row r="273" spans="1:10" ht="13" x14ac:dyDescent="0.15">
      <c r="A273" s="1">
        <v>272</v>
      </c>
      <c r="B273" s="1">
        <v>10</v>
      </c>
      <c r="C273" s="1" t="s">
        <v>571</v>
      </c>
      <c r="D273" s="1" t="s">
        <v>84</v>
      </c>
      <c r="E273" s="1" t="s">
        <v>572</v>
      </c>
      <c r="F273">
        <v>7</v>
      </c>
      <c r="G273" t="s">
        <v>1247</v>
      </c>
      <c r="H273" t="s">
        <v>1248</v>
      </c>
      <c r="I273" t="s">
        <v>1143</v>
      </c>
      <c r="J273">
        <v>64</v>
      </c>
    </row>
    <row r="274" spans="1:10" ht="13" x14ac:dyDescent="0.15">
      <c r="A274" s="1">
        <v>273</v>
      </c>
      <c r="B274" s="1">
        <v>10</v>
      </c>
      <c r="C274" s="1" t="s">
        <v>551</v>
      </c>
      <c r="D274" s="1" t="s">
        <v>151</v>
      </c>
      <c r="E274" s="1" t="s">
        <v>578</v>
      </c>
      <c r="F274">
        <v>10</v>
      </c>
      <c r="G274" t="s">
        <v>1247</v>
      </c>
      <c r="H274" t="s">
        <v>1248</v>
      </c>
      <c r="I274" t="s">
        <v>1144</v>
      </c>
      <c r="J274">
        <v>17</v>
      </c>
    </row>
    <row r="275" spans="1:10" ht="13" x14ac:dyDescent="0.15">
      <c r="A275" s="1">
        <v>274</v>
      </c>
      <c r="B275" s="1">
        <v>10</v>
      </c>
      <c r="C275" s="1" t="s">
        <v>559</v>
      </c>
      <c r="D275" s="1" t="s">
        <v>32</v>
      </c>
      <c r="E275" s="1" t="s">
        <v>592</v>
      </c>
      <c r="F275">
        <v>10</v>
      </c>
      <c r="G275" t="s">
        <v>1247</v>
      </c>
      <c r="H275" t="s">
        <v>1248</v>
      </c>
      <c r="I275" t="s">
        <v>1144</v>
      </c>
      <c r="J275">
        <v>60</v>
      </c>
    </row>
    <row r="276" spans="1:10" ht="13" x14ac:dyDescent="0.15">
      <c r="A276" s="1">
        <v>275</v>
      </c>
      <c r="B276" s="1">
        <v>10</v>
      </c>
      <c r="C276" s="1" t="s">
        <v>583</v>
      </c>
      <c r="D276" s="1" t="s">
        <v>35</v>
      </c>
      <c r="E276" s="1" t="s">
        <v>584</v>
      </c>
      <c r="F276">
        <v>8</v>
      </c>
      <c r="G276" t="s">
        <v>1247</v>
      </c>
      <c r="H276" t="s">
        <v>1248</v>
      </c>
      <c r="I276" t="s">
        <v>1144</v>
      </c>
      <c r="J276">
        <v>-23</v>
      </c>
    </row>
    <row r="277" spans="1:10" ht="13" x14ac:dyDescent="0.15">
      <c r="A277" s="1">
        <v>276</v>
      </c>
      <c r="B277" s="1">
        <v>10</v>
      </c>
      <c r="C277" s="1" t="s">
        <v>565</v>
      </c>
      <c r="D277" s="1" t="s">
        <v>135</v>
      </c>
      <c r="E277" s="1" t="s">
        <v>580</v>
      </c>
      <c r="F277">
        <v>14</v>
      </c>
      <c r="G277" t="s">
        <v>1247</v>
      </c>
      <c r="H277" t="s">
        <v>1248</v>
      </c>
      <c r="I277" t="s">
        <v>1143</v>
      </c>
      <c r="J277">
        <v>28</v>
      </c>
    </row>
    <row r="278" spans="1:10" ht="13" x14ac:dyDescent="0.15">
      <c r="A278" s="1">
        <v>277</v>
      </c>
      <c r="B278" s="1">
        <v>10</v>
      </c>
      <c r="C278" s="1" t="s">
        <v>577</v>
      </c>
      <c r="D278" s="1" t="s">
        <v>38</v>
      </c>
      <c r="E278" s="1" t="s">
        <v>596</v>
      </c>
      <c r="F278">
        <v>14</v>
      </c>
      <c r="G278" t="s">
        <v>1247</v>
      </c>
      <c r="H278" t="s">
        <v>1248</v>
      </c>
      <c r="I278" t="s">
        <v>1142</v>
      </c>
      <c r="J278">
        <v>16</v>
      </c>
    </row>
    <row r="279" spans="1:10" ht="13" x14ac:dyDescent="0.15">
      <c r="A279" s="1">
        <v>278</v>
      </c>
      <c r="B279" s="1">
        <v>10</v>
      </c>
      <c r="C279" s="1" t="s">
        <v>575</v>
      </c>
      <c r="D279" s="1" t="s">
        <v>122</v>
      </c>
      <c r="E279" s="1" t="s">
        <v>604</v>
      </c>
      <c r="F279">
        <v>11</v>
      </c>
      <c r="G279" t="s">
        <v>1247</v>
      </c>
      <c r="H279" t="s">
        <v>1248</v>
      </c>
      <c r="I279" t="s">
        <v>1143</v>
      </c>
      <c r="J279">
        <v>63</v>
      </c>
    </row>
    <row r="280" spans="1:10" ht="13" x14ac:dyDescent="0.15">
      <c r="A280" s="1">
        <v>279</v>
      </c>
      <c r="B280" s="1">
        <v>10</v>
      </c>
      <c r="C280" s="1" t="s">
        <v>579</v>
      </c>
      <c r="D280" s="1" t="s">
        <v>171</v>
      </c>
      <c r="E280" s="1" t="s">
        <v>598</v>
      </c>
      <c r="F280">
        <v>14</v>
      </c>
      <c r="G280" t="s">
        <v>1247</v>
      </c>
      <c r="H280" t="s">
        <v>1248</v>
      </c>
      <c r="I280" t="s">
        <v>1143</v>
      </c>
      <c r="J280">
        <v>13</v>
      </c>
    </row>
    <row r="281" spans="1:10" ht="13" x14ac:dyDescent="0.15">
      <c r="A281" s="1">
        <v>280</v>
      </c>
      <c r="B281" s="1">
        <v>11</v>
      </c>
      <c r="C281" s="1" t="s">
        <v>593</v>
      </c>
      <c r="D281" s="1" t="s">
        <v>151</v>
      </c>
      <c r="E281" s="1" t="s">
        <v>620</v>
      </c>
      <c r="F281">
        <v>10</v>
      </c>
      <c r="G281" t="s">
        <v>1247</v>
      </c>
      <c r="H281" t="s">
        <v>1248</v>
      </c>
      <c r="I281" t="s">
        <v>1142</v>
      </c>
      <c r="J281">
        <v>63</v>
      </c>
    </row>
    <row r="282" spans="1:10" ht="13" x14ac:dyDescent="0.15">
      <c r="A282" s="1">
        <v>281</v>
      </c>
      <c r="B282" s="1">
        <v>11</v>
      </c>
      <c r="C282" s="1" t="s">
        <v>573</v>
      </c>
      <c r="D282" s="1" t="s">
        <v>58</v>
      </c>
      <c r="E282" s="1" t="s">
        <v>610</v>
      </c>
      <c r="F282">
        <v>12</v>
      </c>
      <c r="G282" t="s">
        <v>1247</v>
      </c>
      <c r="H282" t="s">
        <v>1248</v>
      </c>
      <c r="I282" t="s">
        <v>1142</v>
      </c>
      <c r="J282" t="s">
        <v>1150</v>
      </c>
    </row>
    <row r="283" spans="1:10" ht="13" x14ac:dyDescent="0.15">
      <c r="A283" s="1">
        <v>282</v>
      </c>
      <c r="B283" s="1">
        <v>11</v>
      </c>
      <c r="C283" s="1" t="s">
        <v>603</v>
      </c>
      <c r="D283" s="1" t="s">
        <v>52</v>
      </c>
      <c r="E283" s="1" t="s">
        <v>629</v>
      </c>
      <c r="F283">
        <v>8</v>
      </c>
      <c r="G283" t="s">
        <v>1247</v>
      </c>
      <c r="H283" t="s">
        <v>1248</v>
      </c>
      <c r="I283" t="s">
        <v>1143</v>
      </c>
      <c r="J283">
        <v>58</v>
      </c>
    </row>
    <row r="284" spans="1:10" ht="13" x14ac:dyDescent="0.15">
      <c r="A284" s="1">
        <v>283</v>
      </c>
      <c r="B284" s="1">
        <v>11</v>
      </c>
      <c r="C284" s="1" t="s">
        <v>597</v>
      </c>
      <c r="D284" s="1" t="s">
        <v>98</v>
      </c>
      <c r="E284" s="1" t="s">
        <v>600</v>
      </c>
      <c r="F284">
        <v>9</v>
      </c>
      <c r="G284" t="s">
        <v>1247</v>
      </c>
      <c r="H284" t="s">
        <v>1248</v>
      </c>
      <c r="I284" t="s">
        <v>1145</v>
      </c>
      <c r="J284" t="s">
        <v>1150</v>
      </c>
    </row>
    <row r="285" spans="1:10" ht="13" x14ac:dyDescent="0.15">
      <c r="A285" s="1">
        <v>284</v>
      </c>
      <c r="B285" s="1">
        <v>11</v>
      </c>
      <c r="C285" s="1" t="s">
        <v>581</v>
      </c>
      <c r="D285" s="1" t="s">
        <v>84</v>
      </c>
      <c r="E285" s="1" t="s">
        <v>633</v>
      </c>
      <c r="F285">
        <v>7</v>
      </c>
      <c r="G285" t="s">
        <v>1247</v>
      </c>
      <c r="H285" t="s">
        <v>1248</v>
      </c>
      <c r="I285" t="s">
        <v>1142</v>
      </c>
      <c r="J285" t="s">
        <v>1150</v>
      </c>
    </row>
    <row r="286" spans="1:10" ht="13" x14ac:dyDescent="0.15">
      <c r="A286" s="1">
        <v>285</v>
      </c>
      <c r="B286" s="1">
        <v>11</v>
      </c>
      <c r="C286" s="1" t="s">
        <v>634</v>
      </c>
      <c r="D286" s="1" t="s">
        <v>38</v>
      </c>
      <c r="E286" s="1" t="s">
        <v>635</v>
      </c>
      <c r="F286">
        <v>14</v>
      </c>
      <c r="G286" t="s">
        <v>1247</v>
      </c>
      <c r="H286" t="s">
        <v>1248</v>
      </c>
      <c r="I286" t="s">
        <v>1148</v>
      </c>
      <c r="J286">
        <v>-51</v>
      </c>
    </row>
    <row r="287" spans="1:10" ht="13" x14ac:dyDescent="0.15">
      <c r="A287" s="1">
        <v>286</v>
      </c>
      <c r="B287" s="1">
        <v>11</v>
      </c>
      <c r="C287" s="1" t="s">
        <v>622</v>
      </c>
      <c r="D287" s="1" t="s">
        <v>125</v>
      </c>
      <c r="E287" s="1" t="s">
        <v>558</v>
      </c>
      <c r="F287">
        <v>5</v>
      </c>
      <c r="G287" t="s">
        <v>1249</v>
      </c>
      <c r="H287" t="s">
        <v>1250</v>
      </c>
      <c r="I287" t="s">
        <v>1144</v>
      </c>
      <c r="J287">
        <v>-49</v>
      </c>
    </row>
    <row r="288" spans="1:10" ht="13" x14ac:dyDescent="0.15">
      <c r="A288" s="1">
        <v>287</v>
      </c>
      <c r="B288" s="1">
        <v>11</v>
      </c>
      <c r="C288" s="1" t="s">
        <v>630</v>
      </c>
      <c r="D288" s="1" t="s">
        <v>58</v>
      </c>
      <c r="E288" s="1" t="s">
        <v>625</v>
      </c>
      <c r="F288">
        <v>12</v>
      </c>
      <c r="G288" t="s">
        <v>1247</v>
      </c>
      <c r="H288" t="s">
        <v>1248</v>
      </c>
      <c r="I288" t="s">
        <v>1142</v>
      </c>
      <c r="J288">
        <v>-82</v>
      </c>
    </row>
    <row r="289" spans="1:10" ht="13" x14ac:dyDescent="0.15">
      <c r="A289" s="1">
        <v>288</v>
      </c>
      <c r="B289" s="1">
        <v>11</v>
      </c>
      <c r="C289" s="1" t="s">
        <v>656</v>
      </c>
      <c r="D289" s="1" t="s">
        <v>70</v>
      </c>
      <c r="E289" s="1" t="s">
        <v>612</v>
      </c>
      <c r="F289">
        <v>5</v>
      </c>
      <c r="G289" t="s">
        <v>1247</v>
      </c>
      <c r="H289" t="s">
        <v>1248</v>
      </c>
      <c r="I289" t="s">
        <v>1143</v>
      </c>
      <c r="J289">
        <v>14</v>
      </c>
    </row>
    <row r="290" spans="1:10" ht="13" x14ac:dyDescent="0.15">
      <c r="A290" s="1">
        <v>289</v>
      </c>
      <c r="B290" s="1">
        <v>11</v>
      </c>
      <c r="C290" s="1" t="s">
        <v>640</v>
      </c>
      <c r="D290" s="1" t="s">
        <v>26</v>
      </c>
      <c r="E290" s="1" t="s">
        <v>641</v>
      </c>
      <c r="F290">
        <v>6</v>
      </c>
      <c r="G290" t="s">
        <v>1249</v>
      </c>
      <c r="H290" t="s">
        <v>1250</v>
      </c>
      <c r="I290" t="s">
        <v>1144</v>
      </c>
      <c r="J290" t="s">
        <v>1150</v>
      </c>
    </row>
    <row r="291" spans="1:10" ht="13" x14ac:dyDescent="0.15">
      <c r="A291" s="1">
        <v>290</v>
      </c>
      <c r="B291" s="1">
        <v>11</v>
      </c>
      <c r="C291" s="1" t="s">
        <v>541</v>
      </c>
      <c r="D291" s="1" t="s">
        <v>32</v>
      </c>
      <c r="E291" s="1" t="s">
        <v>602</v>
      </c>
      <c r="F291">
        <v>10</v>
      </c>
      <c r="G291" t="s">
        <v>1249</v>
      </c>
      <c r="H291" t="s">
        <v>1250</v>
      </c>
      <c r="I291" t="s">
        <v>1149</v>
      </c>
      <c r="J291">
        <v>-49</v>
      </c>
    </row>
    <row r="292" spans="1:10" ht="13" x14ac:dyDescent="0.15">
      <c r="A292" s="1">
        <v>291</v>
      </c>
      <c r="B292" s="1">
        <v>11</v>
      </c>
      <c r="C292" s="1" t="s">
        <v>632</v>
      </c>
      <c r="D292" s="1" t="s">
        <v>46</v>
      </c>
      <c r="E292" s="1" t="s">
        <v>645</v>
      </c>
      <c r="F292">
        <v>8</v>
      </c>
      <c r="G292" t="s">
        <v>1247</v>
      </c>
      <c r="H292" t="s">
        <v>1248</v>
      </c>
      <c r="I292" t="s">
        <v>1143</v>
      </c>
      <c r="J292" t="s">
        <v>1150</v>
      </c>
    </row>
    <row r="293" spans="1:10" ht="13" x14ac:dyDescent="0.15">
      <c r="A293" s="1">
        <v>292</v>
      </c>
      <c r="B293" s="1">
        <v>11</v>
      </c>
      <c r="C293" s="1" t="s">
        <v>698</v>
      </c>
      <c r="D293" s="1" t="s">
        <v>55</v>
      </c>
      <c r="E293" s="1" t="s">
        <v>586</v>
      </c>
      <c r="F293">
        <v>7</v>
      </c>
      <c r="G293" t="s">
        <v>1247</v>
      </c>
      <c r="H293" t="s">
        <v>1248</v>
      </c>
      <c r="I293" t="s">
        <v>1144</v>
      </c>
      <c r="J293">
        <v>-95</v>
      </c>
    </row>
    <row r="294" spans="1:10" ht="13" x14ac:dyDescent="0.15">
      <c r="A294" s="1">
        <v>293</v>
      </c>
      <c r="B294" s="1">
        <v>11</v>
      </c>
      <c r="C294" s="1" t="s">
        <v>654</v>
      </c>
      <c r="D294" s="1" t="s">
        <v>70</v>
      </c>
      <c r="E294" s="1" t="s">
        <v>618</v>
      </c>
      <c r="F294">
        <v>5</v>
      </c>
      <c r="G294" t="s">
        <v>1247</v>
      </c>
      <c r="H294" t="s">
        <v>1248</v>
      </c>
      <c r="I294" t="s">
        <v>1143</v>
      </c>
      <c r="J294" t="s">
        <v>1150</v>
      </c>
    </row>
    <row r="295" spans="1:10" ht="13" x14ac:dyDescent="0.15">
      <c r="A295" s="1">
        <v>294</v>
      </c>
      <c r="B295" s="1">
        <v>11</v>
      </c>
      <c r="C295" s="1" t="s">
        <v>642</v>
      </c>
      <c r="D295" s="1" t="s">
        <v>52</v>
      </c>
      <c r="E295" s="1" t="s">
        <v>643</v>
      </c>
      <c r="F295">
        <v>8</v>
      </c>
      <c r="G295" t="s">
        <v>1247</v>
      </c>
      <c r="H295" t="s">
        <v>1248</v>
      </c>
      <c r="I295" t="s">
        <v>1142</v>
      </c>
      <c r="J295">
        <v>-76</v>
      </c>
    </row>
    <row r="296" spans="1:10" ht="13" x14ac:dyDescent="0.15">
      <c r="A296" s="1">
        <v>295</v>
      </c>
      <c r="B296" s="1">
        <v>11</v>
      </c>
      <c r="C296" s="1" t="s">
        <v>599</v>
      </c>
      <c r="D296" s="1" t="s">
        <v>49</v>
      </c>
      <c r="E296" s="1" t="s">
        <v>621</v>
      </c>
      <c r="F296">
        <v>14</v>
      </c>
      <c r="G296" t="s">
        <v>1247</v>
      </c>
      <c r="H296" t="s">
        <v>1248</v>
      </c>
      <c r="I296" t="s">
        <v>1142</v>
      </c>
      <c r="J296">
        <v>30</v>
      </c>
    </row>
    <row r="297" spans="1:10" ht="13" x14ac:dyDescent="0.15">
      <c r="A297" s="1">
        <v>296</v>
      </c>
      <c r="B297" s="1">
        <v>11</v>
      </c>
      <c r="C297" s="1" t="s">
        <v>700</v>
      </c>
      <c r="D297" s="1" t="s">
        <v>171</v>
      </c>
      <c r="E297" s="1" t="s">
        <v>623</v>
      </c>
      <c r="F297">
        <v>14</v>
      </c>
      <c r="G297" t="s">
        <v>1249</v>
      </c>
      <c r="H297" t="s">
        <v>1250</v>
      </c>
      <c r="I297" t="s">
        <v>1143</v>
      </c>
      <c r="J297">
        <v>-67</v>
      </c>
    </row>
    <row r="298" spans="1:10" ht="13" x14ac:dyDescent="0.15">
      <c r="A298" s="1">
        <v>297</v>
      </c>
      <c r="B298" s="1">
        <v>11</v>
      </c>
      <c r="C298" s="1" t="s">
        <v>678</v>
      </c>
      <c r="D298" s="1" t="s">
        <v>26</v>
      </c>
      <c r="E298" s="1" t="s">
        <v>679</v>
      </c>
      <c r="F298">
        <v>6</v>
      </c>
      <c r="G298" t="s">
        <v>1247</v>
      </c>
      <c r="H298" t="s">
        <v>1248</v>
      </c>
      <c r="I298" t="s">
        <v>1149</v>
      </c>
      <c r="J298">
        <v>-73</v>
      </c>
    </row>
    <row r="299" spans="1:10" ht="13" x14ac:dyDescent="0.15">
      <c r="A299" s="1">
        <v>298</v>
      </c>
      <c r="B299" s="1">
        <v>11</v>
      </c>
      <c r="C299" s="1" t="s">
        <v>628</v>
      </c>
      <c r="D299" s="1" t="s">
        <v>46</v>
      </c>
      <c r="E299" s="1" t="s">
        <v>649</v>
      </c>
      <c r="F299">
        <v>8</v>
      </c>
      <c r="G299" t="s">
        <v>1247</v>
      </c>
      <c r="H299" t="s">
        <v>1248</v>
      </c>
      <c r="I299" t="s">
        <v>1143</v>
      </c>
      <c r="J299" t="s">
        <v>1150</v>
      </c>
    </row>
    <row r="300" spans="1:10" ht="13" x14ac:dyDescent="0.15">
      <c r="A300" s="1">
        <v>299</v>
      </c>
      <c r="B300" s="1">
        <v>11</v>
      </c>
      <c r="C300" s="1" t="s">
        <v>644</v>
      </c>
      <c r="D300" s="1" t="s">
        <v>70</v>
      </c>
      <c r="E300" s="1" t="s">
        <v>651</v>
      </c>
      <c r="F300">
        <v>5</v>
      </c>
      <c r="G300" t="s">
        <v>1247</v>
      </c>
      <c r="H300" t="s">
        <v>1248</v>
      </c>
      <c r="I300" t="s">
        <v>1144</v>
      </c>
      <c r="J300">
        <v>78</v>
      </c>
    </row>
    <row r="301" spans="1:10" ht="13" x14ac:dyDescent="0.15">
      <c r="A301" s="1">
        <v>300</v>
      </c>
      <c r="B301" s="1">
        <v>11</v>
      </c>
      <c r="C301" s="1" t="s">
        <v>530</v>
      </c>
      <c r="D301" s="1" t="s">
        <v>58</v>
      </c>
      <c r="E301" s="1" t="s">
        <v>683</v>
      </c>
      <c r="F301">
        <v>12</v>
      </c>
      <c r="G301" t="s">
        <v>1247</v>
      </c>
      <c r="H301" t="s">
        <v>1248</v>
      </c>
      <c r="I301" t="s">
        <v>1144</v>
      </c>
      <c r="J301">
        <v>-30</v>
      </c>
    </row>
    <row r="302" spans="1:10" ht="13" x14ac:dyDescent="0.15">
      <c r="A302" s="1">
        <v>301</v>
      </c>
      <c r="B302" s="1">
        <v>11</v>
      </c>
      <c r="C302" s="1" t="s">
        <v>738</v>
      </c>
      <c r="D302" s="1" t="s">
        <v>140</v>
      </c>
      <c r="E302" s="1" t="s">
        <v>653</v>
      </c>
      <c r="F302">
        <v>12</v>
      </c>
      <c r="G302" t="s">
        <v>1247</v>
      </c>
      <c r="H302" t="s">
        <v>1248</v>
      </c>
      <c r="I302" t="s">
        <v>1142</v>
      </c>
      <c r="J302">
        <v>-47</v>
      </c>
    </row>
    <row r="303" spans="1:10" ht="13" x14ac:dyDescent="0.15">
      <c r="A303" s="1">
        <v>302</v>
      </c>
      <c r="B303" s="1">
        <v>11</v>
      </c>
      <c r="C303" s="1" t="s">
        <v>684</v>
      </c>
      <c r="D303" s="1" t="s">
        <v>79</v>
      </c>
      <c r="E303" s="1" t="s">
        <v>685</v>
      </c>
      <c r="F303">
        <v>8</v>
      </c>
      <c r="G303" t="s">
        <v>1249</v>
      </c>
      <c r="H303" t="s">
        <v>1250</v>
      </c>
      <c r="I303" t="s">
        <v>1143</v>
      </c>
      <c r="J303">
        <v>-62</v>
      </c>
    </row>
    <row r="304" spans="1:10" ht="13" x14ac:dyDescent="0.15">
      <c r="A304" s="1">
        <v>303</v>
      </c>
      <c r="B304" s="1">
        <v>11</v>
      </c>
      <c r="C304" s="1" t="s">
        <v>601</v>
      </c>
      <c r="D304" s="1" t="s">
        <v>194</v>
      </c>
      <c r="E304" s="1" t="s">
        <v>695</v>
      </c>
      <c r="F304">
        <v>9</v>
      </c>
      <c r="G304" t="s">
        <v>1249</v>
      </c>
      <c r="H304" t="s">
        <v>1250</v>
      </c>
      <c r="I304" t="s">
        <v>1142</v>
      </c>
      <c r="J304">
        <v>-37</v>
      </c>
    </row>
    <row r="305" spans="1:10" ht="13" x14ac:dyDescent="0.15">
      <c r="A305" s="1">
        <v>304</v>
      </c>
      <c r="B305" s="1">
        <v>11</v>
      </c>
      <c r="C305" s="1" t="s">
        <v>648</v>
      </c>
      <c r="D305" s="1" t="s">
        <v>103</v>
      </c>
      <c r="E305" s="1" t="s">
        <v>669</v>
      </c>
      <c r="F305">
        <v>12</v>
      </c>
      <c r="G305" t="s">
        <v>1249</v>
      </c>
      <c r="H305" t="s">
        <v>1250</v>
      </c>
      <c r="I305" t="s">
        <v>1142</v>
      </c>
      <c r="J305" t="s">
        <v>1150</v>
      </c>
    </row>
    <row r="306" spans="1:10" ht="13" x14ac:dyDescent="0.15">
      <c r="A306" s="1">
        <v>305</v>
      </c>
      <c r="B306" s="1">
        <v>11</v>
      </c>
      <c r="C306" s="1" t="s">
        <v>710</v>
      </c>
      <c r="D306" s="1" t="s">
        <v>20</v>
      </c>
      <c r="E306" s="1" t="s">
        <v>671</v>
      </c>
      <c r="F306">
        <v>5</v>
      </c>
      <c r="G306" t="s">
        <v>1247</v>
      </c>
      <c r="H306" t="s">
        <v>1248</v>
      </c>
      <c r="I306" t="s">
        <v>1142</v>
      </c>
      <c r="J306">
        <v>-26</v>
      </c>
    </row>
    <row r="307" spans="1:10" ht="13" x14ac:dyDescent="0.15">
      <c r="A307" s="1">
        <v>306</v>
      </c>
      <c r="B307" s="1">
        <v>11</v>
      </c>
      <c r="C307" s="1" t="s">
        <v>692</v>
      </c>
      <c r="D307" s="1" t="s">
        <v>52</v>
      </c>
      <c r="E307" s="1" t="s">
        <v>627</v>
      </c>
      <c r="F307">
        <v>8</v>
      </c>
      <c r="G307" t="s">
        <v>1247</v>
      </c>
      <c r="H307" t="s">
        <v>1248</v>
      </c>
      <c r="I307" t="s">
        <v>1144</v>
      </c>
      <c r="J307" t="s">
        <v>1150</v>
      </c>
    </row>
    <row r="308" spans="1:10" ht="13" x14ac:dyDescent="0.15">
      <c r="A308" s="1">
        <v>307</v>
      </c>
      <c r="B308" s="1">
        <v>11</v>
      </c>
      <c r="C308" s="1" t="s">
        <v>636</v>
      </c>
      <c r="D308" s="1" t="s">
        <v>35</v>
      </c>
      <c r="E308" s="1" t="s">
        <v>631</v>
      </c>
      <c r="F308">
        <v>8</v>
      </c>
      <c r="G308" t="s">
        <v>1247</v>
      </c>
      <c r="H308" t="s">
        <v>1248</v>
      </c>
      <c r="I308" t="s">
        <v>1143</v>
      </c>
      <c r="J308">
        <v>6</v>
      </c>
    </row>
    <row r="309" spans="1:10" ht="13" x14ac:dyDescent="0.15">
      <c r="A309" s="1">
        <v>308</v>
      </c>
      <c r="B309" s="1">
        <v>11</v>
      </c>
      <c r="C309" s="1" t="s">
        <v>658</v>
      </c>
      <c r="D309" s="1" t="s">
        <v>26</v>
      </c>
      <c r="E309" s="1" t="s">
        <v>639</v>
      </c>
      <c r="F309">
        <v>6</v>
      </c>
      <c r="G309" t="s">
        <v>1247</v>
      </c>
      <c r="H309" t="s">
        <v>1248</v>
      </c>
      <c r="I309" t="s">
        <v>1142</v>
      </c>
      <c r="J309" t="s">
        <v>1150</v>
      </c>
    </row>
    <row r="310" spans="1:10" ht="13" x14ac:dyDescent="0.15">
      <c r="A310" s="1">
        <v>309</v>
      </c>
      <c r="B310" s="1">
        <v>11</v>
      </c>
      <c r="C310" s="1" t="s">
        <v>670</v>
      </c>
      <c r="D310" s="1" t="s">
        <v>17</v>
      </c>
      <c r="E310" s="1" t="s">
        <v>673</v>
      </c>
      <c r="F310">
        <v>10</v>
      </c>
      <c r="G310" t="s">
        <v>1247</v>
      </c>
      <c r="H310" t="s">
        <v>1248</v>
      </c>
      <c r="I310" t="s">
        <v>1142</v>
      </c>
      <c r="J310" t="s">
        <v>1150</v>
      </c>
    </row>
    <row r="311" spans="1:10" ht="13" x14ac:dyDescent="0.15">
      <c r="A311" s="1">
        <v>310</v>
      </c>
      <c r="B311" s="1">
        <v>11</v>
      </c>
      <c r="C311" s="1" t="s">
        <v>696</v>
      </c>
      <c r="D311" s="1" t="s">
        <v>35</v>
      </c>
      <c r="E311" s="1" t="s">
        <v>637</v>
      </c>
      <c r="F311">
        <v>8</v>
      </c>
      <c r="G311" t="s">
        <v>1247</v>
      </c>
      <c r="H311" t="s">
        <v>1248</v>
      </c>
      <c r="I311" t="s">
        <v>1143</v>
      </c>
      <c r="J311">
        <v>8</v>
      </c>
    </row>
    <row r="312" spans="1:10" ht="13" x14ac:dyDescent="0.15">
      <c r="A312" s="1">
        <v>311</v>
      </c>
      <c r="B312" s="1">
        <v>11</v>
      </c>
      <c r="C312" s="1" t="s">
        <v>664</v>
      </c>
      <c r="D312" s="1" t="s">
        <v>32</v>
      </c>
      <c r="E312" s="1" t="s">
        <v>647</v>
      </c>
      <c r="F312">
        <v>10</v>
      </c>
      <c r="G312" t="s">
        <v>1247</v>
      </c>
      <c r="H312" t="s">
        <v>1248</v>
      </c>
      <c r="I312" t="s">
        <v>1144</v>
      </c>
      <c r="J312" t="s">
        <v>1150</v>
      </c>
    </row>
    <row r="313" spans="1:10" ht="13" x14ac:dyDescent="0.15">
      <c r="A313" s="1">
        <v>312</v>
      </c>
      <c r="B313" s="1">
        <v>11</v>
      </c>
      <c r="C313" s="1" t="s">
        <v>720</v>
      </c>
      <c r="D313" s="1" t="s">
        <v>17</v>
      </c>
      <c r="E313" s="1" t="s">
        <v>655</v>
      </c>
      <c r="F313">
        <v>10</v>
      </c>
      <c r="G313" t="s">
        <v>1247</v>
      </c>
      <c r="H313" t="s">
        <v>1248</v>
      </c>
      <c r="I313" t="s">
        <v>1142</v>
      </c>
      <c r="J313">
        <v>11</v>
      </c>
    </row>
    <row r="314" spans="1:10" ht="13" x14ac:dyDescent="0.15">
      <c r="A314" s="1">
        <v>313</v>
      </c>
      <c r="B314" s="1">
        <v>11</v>
      </c>
      <c r="C314" s="1" t="s">
        <v>660</v>
      </c>
      <c r="D314" s="1" t="s">
        <v>17</v>
      </c>
      <c r="E314" s="1" t="s">
        <v>661</v>
      </c>
      <c r="F314">
        <v>10</v>
      </c>
      <c r="G314" t="s">
        <v>1247</v>
      </c>
      <c r="H314" t="s">
        <v>1248</v>
      </c>
      <c r="I314" t="s">
        <v>1144</v>
      </c>
      <c r="J314">
        <v>72</v>
      </c>
    </row>
    <row r="315" spans="1:10" ht="13" x14ac:dyDescent="0.15">
      <c r="A315" s="1">
        <v>314</v>
      </c>
      <c r="B315" s="1">
        <v>11</v>
      </c>
      <c r="C315" s="1" t="s">
        <v>624</v>
      </c>
      <c r="D315" s="1" t="s">
        <v>122</v>
      </c>
      <c r="E315" s="1" t="s">
        <v>675</v>
      </c>
      <c r="F315">
        <v>11</v>
      </c>
      <c r="G315" t="s">
        <v>1247</v>
      </c>
      <c r="H315" t="s">
        <v>1248</v>
      </c>
      <c r="I315" t="s">
        <v>1142</v>
      </c>
      <c r="J315">
        <v>44</v>
      </c>
    </row>
    <row r="316" spans="1:10" ht="13" x14ac:dyDescent="0.15">
      <c r="A316" s="1">
        <v>315</v>
      </c>
      <c r="B316" s="1">
        <v>11</v>
      </c>
      <c r="C316" s="1" t="s">
        <v>680</v>
      </c>
      <c r="D316" s="1" t="s">
        <v>73</v>
      </c>
      <c r="E316" s="1" t="s">
        <v>681</v>
      </c>
      <c r="F316">
        <v>9</v>
      </c>
      <c r="G316" t="s">
        <v>1247</v>
      </c>
      <c r="H316" t="s">
        <v>1248</v>
      </c>
      <c r="I316" t="s">
        <v>1142</v>
      </c>
      <c r="J316" t="s">
        <v>1150</v>
      </c>
    </row>
    <row r="317" spans="1:10" ht="13" x14ac:dyDescent="0.15">
      <c r="A317" s="1">
        <v>316</v>
      </c>
      <c r="B317" s="1">
        <v>11</v>
      </c>
      <c r="C317" s="1" t="s">
        <v>690</v>
      </c>
      <c r="D317" s="1" t="s">
        <v>35</v>
      </c>
      <c r="E317" s="1" t="s">
        <v>691</v>
      </c>
      <c r="F317">
        <v>8</v>
      </c>
      <c r="G317" t="s">
        <v>1247</v>
      </c>
      <c r="H317" t="s">
        <v>1248</v>
      </c>
      <c r="I317" t="s">
        <v>1142</v>
      </c>
      <c r="J317" t="s">
        <v>1150</v>
      </c>
    </row>
    <row r="318" spans="1:10" ht="13" x14ac:dyDescent="0.15">
      <c r="A318" s="1">
        <v>317</v>
      </c>
      <c r="B318" s="1">
        <v>11</v>
      </c>
      <c r="C318" s="1" t="s">
        <v>652</v>
      </c>
      <c r="D318" s="1" t="s">
        <v>164</v>
      </c>
      <c r="E318" s="1" t="s">
        <v>703</v>
      </c>
      <c r="F318">
        <v>10</v>
      </c>
      <c r="G318" t="s">
        <v>1247</v>
      </c>
      <c r="H318" t="s">
        <v>1248</v>
      </c>
      <c r="I318" t="s">
        <v>1143</v>
      </c>
      <c r="J318">
        <v>49</v>
      </c>
    </row>
    <row r="319" spans="1:10" ht="13" x14ac:dyDescent="0.15">
      <c r="A319" s="1">
        <v>318</v>
      </c>
      <c r="B319" s="1">
        <v>11</v>
      </c>
      <c r="C319" s="1" t="s">
        <v>549</v>
      </c>
      <c r="D319" s="1" t="s">
        <v>23</v>
      </c>
      <c r="E319" s="1" t="s">
        <v>657</v>
      </c>
      <c r="F319">
        <v>9</v>
      </c>
      <c r="G319" t="s">
        <v>1247</v>
      </c>
      <c r="H319" t="s">
        <v>1248</v>
      </c>
      <c r="I319" t="s">
        <v>1142</v>
      </c>
      <c r="J319">
        <v>69</v>
      </c>
    </row>
    <row r="320" spans="1:10" ht="13" x14ac:dyDescent="0.15">
      <c r="A320" s="1">
        <v>319</v>
      </c>
      <c r="B320" s="1">
        <v>11</v>
      </c>
      <c r="C320" s="1" t="s">
        <v>674</v>
      </c>
      <c r="D320" s="1" t="s">
        <v>76</v>
      </c>
      <c r="E320" s="1" t="s">
        <v>689</v>
      </c>
      <c r="F320">
        <v>12</v>
      </c>
      <c r="G320" t="s">
        <v>1247</v>
      </c>
      <c r="H320" t="s">
        <v>1248</v>
      </c>
      <c r="I320" t="s">
        <v>1142</v>
      </c>
      <c r="J320">
        <v>51</v>
      </c>
    </row>
    <row r="321" spans="1:10" ht="13" x14ac:dyDescent="0.15">
      <c r="A321" s="1">
        <v>320</v>
      </c>
      <c r="B321" s="1">
        <v>11</v>
      </c>
      <c r="C321" s="1" t="s">
        <v>626</v>
      </c>
      <c r="D321" s="1" t="s">
        <v>76</v>
      </c>
      <c r="E321" s="1" t="s">
        <v>659</v>
      </c>
      <c r="F321">
        <v>12</v>
      </c>
      <c r="G321" t="s">
        <v>1247</v>
      </c>
      <c r="H321" t="s">
        <v>1248</v>
      </c>
      <c r="I321" t="s">
        <v>1142</v>
      </c>
      <c r="J321" t="s">
        <v>1150</v>
      </c>
    </row>
    <row r="322" spans="1:10" ht="13" x14ac:dyDescent="0.15">
      <c r="A322" s="1">
        <v>321</v>
      </c>
      <c r="B322" s="1">
        <v>11</v>
      </c>
      <c r="C322" s="1" t="s">
        <v>595</v>
      </c>
      <c r="D322" s="1" t="s">
        <v>535</v>
      </c>
      <c r="E322" s="1" t="s">
        <v>663</v>
      </c>
      <c r="F322" t="s">
        <v>1150</v>
      </c>
      <c r="G322" t="s">
        <v>1247</v>
      </c>
      <c r="H322" t="s">
        <v>1248</v>
      </c>
      <c r="I322" t="s">
        <v>1150</v>
      </c>
      <c r="J322" t="s">
        <v>1150</v>
      </c>
    </row>
    <row r="323" spans="1:10" ht="13" x14ac:dyDescent="0.15">
      <c r="A323" s="1">
        <v>322</v>
      </c>
      <c r="B323" s="1">
        <v>11</v>
      </c>
      <c r="C323" s="1" t="s">
        <v>676</v>
      </c>
      <c r="D323" s="1" t="s">
        <v>194</v>
      </c>
      <c r="E323" s="1" t="s">
        <v>665</v>
      </c>
      <c r="F323">
        <v>9</v>
      </c>
      <c r="G323" t="s">
        <v>1247</v>
      </c>
      <c r="H323" t="s">
        <v>1248</v>
      </c>
      <c r="I323" t="s">
        <v>1143</v>
      </c>
      <c r="J323" t="s">
        <v>1150</v>
      </c>
    </row>
    <row r="324" spans="1:10" ht="13" x14ac:dyDescent="0.15">
      <c r="A324" s="1">
        <v>323</v>
      </c>
      <c r="B324" s="1">
        <v>12</v>
      </c>
      <c r="C324" s="1" t="s">
        <v>746</v>
      </c>
      <c r="D324" s="1" t="s">
        <v>98</v>
      </c>
      <c r="E324" s="1" t="s">
        <v>711</v>
      </c>
      <c r="F324">
        <v>9</v>
      </c>
      <c r="G324" t="s">
        <v>1247</v>
      </c>
      <c r="H324" t="s">
        <v>1248</v>
      </c>
      <c r="I324" t="s">
        <v>1143</v>
      </c>
      <c r="J324" t="s">
        <v>1150</v>
      </c>
    </row>
    <row r="325" spans="1:10" ht="13" x14ac:dyDescent="0.15">
      <c r="A325" s="1">
        <v>324</v>
      </c>
      <c r="B325" s="1">
        <v>12</v>
      </c>
      <c r="C325" s="1" t="s">
        <v>646</v>
      </c>
      <c r="D325" s="1" t="s">
        <v>93</v>
      </c>
      <c r="E325" s="1" t="s">
        <v>667</v>
      </c>
      <c r="F325">
        <v>8</v>
      </c>
      <c r="G325" t="s">
        <v>1247</v>
      </c>
      <c r="H325" t="s">
        <v>1248</v>
      </c>
      <c r="I325" t="s">
        <v>1142</v>
      </c>
      <c r="J325" t="s">
        <v>1150</v>
      </c>
    </row>
    <row r="326" spans="1:10" ht="13" x14ac:dyDescent="0.15">
      <c r="A326" s="1">
        <v>325</v>
      </c>
      <c r="B326" s="1">
        <v>12</v>
      </c>
      <c r="C326" s="1" t="s">
        <v>708</v>
      </c>
      <c r="D326" s="1" t="s">
        <v>23</v>
      </c>
      <c r="E326" s="1" t="s">
        <v>677</v>
      </c>
      <c r="F326">
        <v>9</v>
      </c>
      <c r="G326" t="s">
        <v>1247</v>
      </c>
      <c r="H326" t="s">
        <v>1248</v>
      </c>
      <c r="I326" t="s">
        <v>1142</v>
      </c>
      <c r="J326">
        <v>-10</v>
      </c>
    </row>
    <row r="327" spans="1:10" ht="13" x14ac:dyDescent="0.15">
      <c r="A327" s="1">
        <v>326</v>
      </c>
      <c r="B327" s="1">
        <v>12</v>
      </c>
      <c r="C327" s="1" t="s">
        <v>611</v>
      </c>
      <c r="D327" s="1" t="s">
        <v>49</v>
      </c>
      <c r="E327" s="1" t="s">
        <v>693</v>
      </c>
      <c r="F327">
        <v>14</v>
      </c>
      <c r="G327" t="s">
        <v>1247</v>
      </c>
      <c r="H327" t="s">
        <v>1248</v>
      </c>
      <c r="I327" t="s">
        <v>1142</v>
      </c>
      <c r="J327" t="s">
        <v>1150</v>
      </c>
    </row>
    <row r="328" spans="1:10" ht="13" x14ac:dyDescent="0.15">
      <c r="A328" s="1">
        <v>327</v>
      </c>
      <c r="B328" s="1">
        <v>12</v>
      </c>
      <c r="C328" s="1" t="s">
        <v>812</v>
      </c>
      <c r="D328" s="1" t="s">
        <v>46</v>
      </c>
      <c r="E328" s="1" t="s">
        <v>699</v>
      </c>
      <c r="F328">
        <v>8</v>
      </c>
      <c r="G328" t="s">
        <v>1247</v>
      </c>
      <c r="H328" t="s">
        <v>1248</v>
      </c>
      <c r="I328" t="s">
        <v>1145</v>
      </c>
      <c r="J328">
        <v>-142</v>
      </c>
    </row>
    <row r="329" spans="1:10" ht="13" x14ac:dyDescent="0.15">
      <c r="A329" s="1">
        <v>328</v>
      </c>
      <c r="B329" s="1">
        <v>12</v>
      </c>
      <c r="C329" s="1" t="s">
        <v>706</v>
      </c>
      <c r="D329" s="1" t="s">
        <v>76</v>
      </c>
      <c r="E329" s="1" t="s">
        <v>697</v>
      </c>
      <c r="F329">
        <v>12</v>
      </c>
      <c r="G329" t="s">
        <v>1247</v>
      </c>
      <c r="H329" t="s">
        <v>1248</v>
      </c>
      <c r="I329" t="s">
        <v>1142</v>
      </c>
      <c r="J329">
        <v>-7</v>
      </c>
    </row>
    <row r="330" spans="1:10" ht="13" x14ac:dyDescent="0.15">
      <c r="A330" s="1">
        <v>329</v>
      </c>
      <c r="B330" s="1">
        <v>12</v>
      </c>
      <c r="C330" s="1" t="s">
        <v>686</v>
      </c>
      <c r="D330" s="1" t="s">
        <v>194</v>
      </c>
      <c r="E330" s="1" t="s">
        <v>687</v>
      </c>
      <c r="F330">
        <v>9</v>
      </c>
      <c r="G330" t="s">
        <v>1247</v>
      </c>
      <c r="H330" t="s">
        <v>1248</v>
      </c>
      <c r="I330" t="s">
        <v>1144</v>
      </c>
      <c r="J330">
        <v>-125</v>
      </c>
    </row>
    <row r="331" spans="1:10" ht="13" x14ac:dyDescent="0.15">
      <c r="A331" s="1">
        <v>330</v>
      </c>
      <c r="B331" s="1">
        <v>12</v>
      </c>
      <c r="C331" s="1" t="s">
        <v>718</v>
      </c>
      <c r="D331" s="1" t="s">
        <v>35</v>
      </c>
      <c r="E331" s="1" t="s">
        <v>719</v>
      </c>
      <c r="F331">
        <v>8</v>
      </c>
      <c r="G331" t="s">
        <v>1247</v>
      </c>
      <c r="H331" t="s">
        <v>1248</v>
      </c>
      <c r="I331" t="s">
        <v>1142</v>
      </c>
      <c r="J331">
        <v>49</v>
      </c>
    </row>
    <row r="332" spans="1:10" ht="13" x14ac:dyDescent="0.15">
      <c r="A332" s="1">
        <v>331</v>
      </c>
      <c r="B332" s="1">
        <v>12</v>
      </c>
      <c r="C332" s="1" t="s">
        <v>786</v>
      </c>
      <c r="D332" s="1" t="s">
        <v>70</v>
      </c>
      <c r="E332" s="1" t="s">
        <v>737</v>
      </c>
      <c r="F332">
        <v>5</v>
      </c>
      <c r="G332" t="s">
        <v>1247</v>
      </c>
      <c r="H332" t="s">
        <v>1248</v>
      </c>
      <c r="I332" t="s">
        <v>1142</v>
      </c>
      <c r="J332">
        <v>-104</v>
      </c>
    </row>
    <row r="333" spans="1:10" ht="13" x14ac:dyDescent="0.15">
      <c r="A333" s="1">
        <v>332</v>
      </c>
      <c r="B333" s="1">
        <v>12</v>
      </c>
      <c r="C333" s="1" t="s">
        <v>704</v>
      </c>
      <c r="D333" s="1" t="s">
        <v>76</v>
      </c>
      <c r="E333" s="1" t="s">
        <v>705</v>
      </c>
      <c r="F333">
        <v>12</v>
      </c>
      <c r="G333" t="s">
        <v>1247</v>
      </c>
      <c r="H333" t="s">
        <v>1248</v>
      </c>
      <c r="I333" t="s">
        <v>1142</v>
      </c>
      <c r="J333" t="s">
        <v>1150</v>
      </c>
    </row>
    <row r="334" spans="1:10" ht="13" x14ac:dyDescent="0.15">
      <c r="A334" s="1">
        <v>333</v>
      </c>
      <c r="B334" s="1">
        <v>12</v>
      </c>
      <c r="C334" s="1" t="s">
        <v>688</v>
      </c>
      <c r="D334" s="1" t="s">
        <v>103</v>
      </c>
      <c r="E334" s="1" t="s">
        <v>707</v>
      </c>
      <c r="F334">
        <v>12</v>
      </c>
      <c r="G334" t="s">
        <v>1247</v>
      </c>
      <c r="H334" t="s">
        <v>1248</v>
      </c>
      <c r="I334" t="s">
        <v>1142</v>
      </c>
      <c r="J334">
        <v>48</v>
      </c>
    </row>
    <row r="335" spans="1:10" ht="13" x14ac:dyDescent="0.15">
      <c r="A335" s="1">
        <v>334</v>
      </c>
      <c r="B335" s="1">
        <v>12</v>
      </c>
      <c r="C335" s="1" t="s">
        <v>742</v>
      </c>
      <c r="D335" s="1" t="s">
        <v>93</v>
      </c>
      <c r="E335" s="1" t="s">
        <v>733</v>
      </c>
      <c r="F335">
        <v>8</v>
      </c>
      <c r="G335" t="s">
        <v>1247</v>
      </c>
      <c r="H335" t="s">
        <v>1248</v>
      </c>
      <c r="I335" t="s">
        <v>1143</v>
      </c>
      <c r="J335" t="s">
        <v>1150</v>
      </c>
    </row>
    <row r="336" spans="1:10" ht="13" x14ac:dyDescent="0.15">
      <c r="A336" s="1">
        <v>335</v>
      </c>
      <c r="B336" s="1">
        <v>12</v>
      </c>
      <c r="C336" s="1" t="s">
        <v>553</v>
      </c>
      <c r="D336" s="1" t="s">
        <v>535</v>
      </c>
      <c r="E336" s="1" t="s">
        <v>723</v>
      </c>
      <c r="F336" t="s">
        <v>1150</v>
      </c>
      <c r="G336" t="s">
        <v>1247</v>
      </c>
      <c r="H336" t="s">
        <v>1248</v>
      </c>
      <c r="I336" t="s">
        <v>1150</v>
      </c>
      <c r="J336">
        <v>19</v>
      </c>
    </row>
    <row r="337" spans="1:10" ht="13" x14ac:dyDescent="0.15">
      <c r="A337" s="1">
        <v>336</v>
      </c>
      <c r="B337" s="1">
        <v>12</v>
      </c>
      <c r="C337" s="1" t="s">
        <v>682</v>
      </c>
      <c r="D337" s="1" t="s">
        <v>93</v>
      </c>
      <c r="E337" s="1" t="s">
        <v>759</v>
      </c>
      <c r="F337">
        <v>8</v>
      </c>
      <c r="G337" t="s">
        <v>1247</v>
      </c>
      <c r="H337" t="s">
        <v>1248</v>
      </c>
      <c r="I337" t="s">
        <v>1145</v>
      </c>
      <c r="J337" t="s">
        <v>1150</v>
      </c>
    </row>
    <row r="338" spans="1:10" ht="13" x14ac:dyDescent="0.15">
      <c r="A338" s="1">
        <v>337</v>
      </c>
      <c r="B338" s="1">
        <v>12</v>
      </c>
      <c r="C338" s="1" t="s">
        <v>730</v>
      </c>
      <c r="D338" s="1" t="s">
        <v>103</v>
      </c>
      <c r="E338" s="1" t="s">
        <v>725</v>
      </c>
      <c r="F338">
        <v>12</v>
      </c>
      <c r="G338" t="s">
        <v>1247</v>
      </c>
      <c r="H338" t="s">
        <v>1248</v>
      </c>
      <c r="I338" t="s">
        <v>1142</v>
      </c>
      <c r="J338" t="s">
        <v>1150</v>
      </c>
    </row>
    <row r="339" spans="1:10" ht="13" x14ac:dyDescent="0.15">
      <c r="A339" s="1">
        <v>338</v>
      </c>
      <c r="B339" s="1">
        <v>12</v>
      </c>
      <c r="C339" s="1" t="s">
        <v>726</v>
      </c>
      <c r="D339" s="1" t="s">
        <v>32</v>
      </c>
      <c r="E339" s="1" t="s">
        <v>727</v>
      </c>
      <c r="F339">
        <v>10</v>
      </c>
      <c r="G339" t="s">
        <v>1247</v>
      </c>
      <c r="H339" t="s">
        <v>1248</v>
      </c>
      <c r="I339" t="s">
        <v>1144</v>
      </c>
      <c r="J339" t="s">
        <v>1150</v>
      </c>
    </row>
    <row r="340" spans="1:10" ht="13" x14ac:dyDescent="0.15">
      <c r="A340" s="1">
        <v>339</v>
      </c>
      <c r="B340" s="1">
        <v>12</v>
      </c>
      <c r="C340" s="1" t="s">
        <v>780</v>
      </c>
      <c r="D340" s="1" t="s">
        <v>103</v>
      </c>
      <c r="E340" s="1" t="s">
        <v>729</v>
      </c>
      <c r="F340">
        <v>12</v>
      </c>
      <c r="G340" t="s">
        <v>1247</v>
      </c>
      <c r="H340" t="s">
        <v>1248</v>
      </c>
      <c r="I340" t="s">
        <v>1142</v>
      </c>
      <c r="J340">
        <v>-48</v>
      </c>
    </row>
    <row r="341" spans="1:10" ht="13" x14ac:dyDescent="0.15">
      <c r="A341" s="1">
        <v>340</v>
      </c>
      <c r="B341" s="1">
        <v>12</v>
      </c>
      <c r="C341" s="1" t="s">
        <v>784</v>
      </c>
      <c r="D341" s="1" t="s">
        <v>38</v>
      </c>
      <c r="E341" s="1" t="s">
        <v>701</v>
      </c>
      <c r="F341">
        <v>14</v>
      </c>
      <c r="G341" t="s">
        <v>1249</v>
      </c>
      <c r="H341" t="s">
        <v>1250</v>
      </c>
      <c r="I341" t="s">
        <v>1148</v>
      </c>
      <c r="J341">
        <v>-119</v>
      </c>
    </row>
    <row r="342" spans="1:10" ht="13" x14ac:dyDescent="0.15">
      <c r="A342" s="1">
        <v>341</v>
      </c>
      <c r="B342" s="1">
        <v>12</v>
      </c>
      <c r="C342" s="1" t="s">
        <v>732</v>
      </c>
      <c r="D342" s="1" t="s">
        <v>84</v>
      </c>
      <c r="E342" s="1" t="s">
        <v>743</v>
      </c>
      <c r="F342">
        <v>7</v>
      </c>
      <c r="G342" t="s">
        <v>1247</v>
      </c>
      <c r="H342" t="s">
        <v>1248</v>
      </c>
      <c r="I342" t="s">
        <v>1142</v>
      </c>
      <c r="J342" t="s">
        <v>1150</v>
      </c>
    </row>
    <row r="343" spans="1:10" ht="13" x14ac:dyDescent="0.15">
      <c r="A343" s="1">
        <v>342</v>
      </c>
      <c r="B343" s="1">
        <v>12</v>
      </c>
      <c r="C343" s="1" t="s">
        <v>830</v>
      </c>
      <c r="D343" s="1" t="s">
        <v>125</v>
      </c>
      <c r="E343" s="1" t="s">
        <v>731</v>
      </c>
      <c r="F343">
        <v>5</v>
      </c>
      <c r="G343" t="s">
        <v>1247</v>
      </c>
      <c r="H343" t="s">
        <v>1248</v>
      </c>
      <c r="I343" t="s">
        <v>1144</v>
      </c>
      <c r="J343">
        <v>-67</v>
      </c>
    </row>
    <row r="344" spans="1:10" ht="13" x14ac:dyDescent="0.15">
      <c r="A344" s="1">
        <v>343</v>
      </c>
      <c r="B344" s="1">
        <v>12</v>
      </c>
      <c r="C344" s="1" t="s">
        <v>744</v>
      </c>
      <c r="D344" s="1" t="s">
        <v>52</v>
      </c>
      <c r="E344" s="1" t="s">
        <v>745</v>
      </c>
      <c r="F344">
        <v>8</v>
      </c>
      <c r="G344" t="s">
        <v>1247</v>
      </c>
      <c r="H344" t="s">
        <v>1248</v>
      </c>
      <c r="I344" t="s">
        <v>1144</v>
      </c>
      <c r="J344" t="s">
        <v>1150</v>
      </c>
    </row>
    <row r="345" spans="1:10" ht="13" x14ac:dyDescent="0.15">
      <c r="A345" s="1">
        <v>344</v>
      </c>
      <c r="B345" s="1">
        <v>12</v>
      </c>
      <c r="C345" s="1" t="s">
        <v>694</v>
      </c>
      <c r="D345" s="1" t="s">
        <v>58</v>
      </c>
      <c r="E345" s="1" t="s">
        <v>785</v>
      </c>
      <c r="F345">
        <v>12</v>
      </c>
      <c r="G345" t="s">
        <v>1249</v>
      </c>
      <c r="H345" t="s">
        <v>1250</v>
      </c>
      <c r="I345" t="s">
        <v>1144</v>
      </c>
      <c r="J345">
        <v>-80</v>
      </c>
    </row>
    <row r="346" spans="1:10" ht="13" x14ac:dyDescent="0.15">
      <c r="A346" s="1">
        <v>345</v>
      </c>
      <c r="B346" s="1">
        <v>12</v>
      </c>
      <c r="C346" s="1" t="s">
        <v>798</v>
      </c>
      <c r="D346" s="1" t="s">
        <v>76</v>
      </c>
      <c r="E346" s="1" t="s">
        <v>735</v>
      </c>
      <c r="F346">
        <v>12</v>
      </c>
      <c r="G346" t="s">
        <v>1247</v>
      </c>
      <c r="H346" t="s">
        <v>1248</v>
      </c>
      <c r="I346" t="s">
        <v>1142</v>
      </c>
      <c r="J346">
        <v>-3</v>
      </c>
    </row>
    <row r="347" spans="1:10" ht="13" x14ac:dyDescent="0.15">
      <c r="A347" s="1">
        <v>346</v>
      </c>
      <c r="B347" s="1">
        <v>12</v>
      </c>
      <c r="C347" s="1" t="s">
        <v>810</v>
      </c>
      <c r="D347" s="1" t="s">
        <v>164</v>
      </c>
      <c r="E347" s="1" t="s">
        <v>709</v>
      </c>
      <c r="F347">
        <v>10</v>
      </c>
      <c r="G347" t="s">
        <v>1247</v>
      </c>
      <c r="H347" t="s">
        <v>1248</v>
      </c>
      <c r="I347" t="s">
        <v>1144</v>
      </c>
      <c r="J347" t="s">
        <v>1150</v>
      </c>
    </row>
    <row r="348" spans="1:10" ht="13" x14ac:dyDescent="0.15">
      <c r="A348" s="1">
        <v>347</v>
      </c>
      <c r="B348" s="1">
        <v>12</v>
      </c>
      <c r="C348" s="1" t="s">
        <v>728</v>
      </c>
      <c r="D348" s="1" t="s">
        <v>49</v>
      </c>
      <c r="E348" s="1" t="s">
        <v>739</v>
      </c>
      <c r="F348">
        <v>14</v>
      </c>
      <c r="G348" t="s">
        <v>1247</v>
      </c>
      <c r="H348" t="s">
        <v>1248</v>
      </c>
      <c r="I348" t="s">
        <v>1143</v>
      </c>
      <c r="J348" t="s">
        <v>1150</v>
      </c>
    </row>
    <row r="349" spans="1:10" ht="13" x14ac:dyDescent="0.15">
      <c r="A349" s="1">
        <v>348</v>
      </c>
      <c r="B349" s="1">
        <v>12</v>
      </c>
      <c r="C349" s="1" t="s">
        <v>758</v>
      </c>
      <c r="D349" s="1" t="s">
        <v>49</v>
      </c>
      <c r="E349" s="1" t="s">
        <v>787</v>
      </c>
      <c r="F349">
        <v>14</v>
      </c>
      <c r="G349" t="s">
        <v>1247</v>
      </c>
      <c r="H349" t="s">
        <v>1248</v>
      </c>
      <c r="I349" t="s">
        <v>1145</v>
      </c>
      <c r="J349">
        <v>-102</v>
      </c>
    </row>
    <row r="350" spans="1:10" ht="13" x14ac:dyDescent="0.15">
      <c r="A350" s="1">
        <v>349</v>
      </c>
      <c r="B350" s="1">
        <v>12</v>
      </c>
      <c r="C350" s="1" t="s">
        <v>774</v>
      </c>
      <c r="D350" s="1" t="s">
        <v>194</v>
      </c>
      <c r="E350" s="1" t="s">
        <v>747</v>
      </c>
      <c r="F350">
        <v>9</v>
      </c>
      <c r="G350" t="s">
        <v>1247</v>
      </c>
      <c r="H350" t="s">
        <v>1248</v>
      </c>
      <c r="I350" t="s">
        <v>1144</v>
      </c>
      <c r="J350">
        <v>-14</v>
      </c>
    </row>
    <row r="351" spans="1:10" ht="13" x14ac:dyDescent="0.15">
      <c r="A351" s="1">
        <v>350</v>
      </c>
      <c r="B351" s="1">
        <v>12</v>
      </c>
      <c r="C351" s="1" t="s">
        <v>714</v>
      </c>
      <c r="D351" s="1" t="s">
        <v>93</v>
      </c>
      <c r="E351" s="1" t="s">
        <v>715</v>
      </c>
      <c r="F351">
        <v>8</v>
      </c>
      <c r="G351" t="s">
        <v>1247</v>
      </c>
      <c r="H351" t="s">
        <v>1248</v>
      </c>
      <c r="I351" t="s">
        <v>1142</v>
      </c>
      <c r="J351">
        <v>6</v>
      </c>
    </row>
    <row r="352" spans="1:10" ht="13" x14ac:dyDescent="0.15">
      <c r="A352" s="1">
        <v>351</v>
      </c>
      <c r="B352" s="1">
        <v>12</v>
      </c>
      <c r="C352" s="1" t="s">
        <v>702</v>
      </c>
      <c r="D352" s="1" t="s">
        <v>84</v>
      </c>
      <c r="E352" s="1" t="s">
        <v>749</v>
      </c>
      <c r="F352">
        <v>7</v>
      </c>
      <c r="G352" t="s">
        <v>1247</v>
      </c>
      <c r="H352" t="s">
        <v>1248</v>
      </c>
      <c r="I352" t="s">
        <v>1142</v>
      </c>
      <c r="J352" t="s">
        <v>1150</v>
      </c>
    </row>
    <row r="353" spans="1:10" ht="13" x14ac:dyDescent="0.15">
      <c r="A353" s="1">
        <v>352</v>
      </c>
      <c r="B353" s="1">
        <v>12</v>
      </c>
      <c r="C353" s="1" t="s">
        <v>750</v>
      </c>
      <c r="D353" s="1" t="s">
        <v>70</v>
      </c>
      <c r="E353" s="1" t="s">
        <v>751</v>
      </c>
      <c r="F353">
        <v>5</v>
      </c>
      <c r="G353" t="s">
        <v>1247</v>
      </c>
      <c r="H353" t="s">
        <v>1248</v>
      </c>
      <c r="I353" t="s">
        <v>1144</v>
      </c>
      <c r="J353" t="s">
        <v>1150</v>
      </c>
    </row>
    <row r="354" spans="1:10" ht="13" x14ac:dyDescent="0.15">
      <c r="A354" s="1">
        <v>353</v>
      </c>
      <c r="B354" s="1">
        <v>12</v>
      </c>
      <c r="C354" s="1" t="s">
        <v>794</v>
      </c>
      <c r="D354" s="1" t="s">
        <v>103</v>
      </c>
      <c r="E354" s="1" t="s">
        <v>795</v>
      </c>
      <c r="F354">
        <v>12</v>
      </c>
      <c r="G354" t="s">
        <v>1249</v>
      </c>
      <c r="H354" t="s">
        <v>1250</v>
      </c>
      <c r="I354" t="s">
        <v>1143</v>
      </c>
      <c r="J354">
        <v>-153</v>
      </c>
    </row>
    <row r="355" spans="1:10" ht="13" x14ac:dyDescent="0.15">
      <c r="A355" s="1">
        <v>354</v>
      </c>
      <c r="B355" s="1">
        <v>12</v>
      </c>
      <c r="C355" s="1" t="s">
        <v>776</v>
      </c>
      <c r="D355" s="1" t="s">
        <v>164</v>
      </c>
      <c r="E355" s="1" t="s">
        <v>757</v>
      </c>
      <c r="F355">
        <v>10</v>
      </c>
      <c r="G355" t="s">
        <v>1247</v>
      </c>
      <c r="H355" t="s">
        <v>1248</v>
      </c>
      <c r="I355" t="s">
        <v>1142</v>
      </c>
      <c r="J355" t="s">
        <v>1150</v>
      </c>
    </row>
    <row r="356" spans="1:10" ht="13" x14ac:dyDescent="0.15">
      <c r="A356" s="1">
        <v>355</v>
      </c>
      <c r="B356" s="1">
        <v>12</v>
      </c>
      <c r="C356" s="1" t="s">
        <v>734</v>
      </c>
      <c r="D356" s="1" t="s">
        <v>23</v>
      </c>
      <c r="E356" s="1" t="s">
        <v>753</v>
      </c>
      <c r="F356">
        <v>9</v>
      </c>
      <c r="G356" t="s">
        <v>1247</v>
      </c>
      <c r="H356" t="s">
        <v>1248</v>
      </c>
      <c r="I356" t="s">
        <v>1142</v>
      </c>
      <c r="J356" t="s">
        <v>1150</v>
      </c>
    </row>
    <row r="357" spans="1:10" ht="13" x14ac:dyDescent="0.15">
      <c r="A357" s="1">
        <v>356</v>
      </c>
      <c r="B357" s="1">
        <v>12</v>
      </c>
      <c r="C357" s="1" t="s">
        <v>756</v>
      </c>
      <c r="D357" s="1" t="s">
        <v>171</v>
      </c>
      <c r="E357" s="1" t="s">
        <v>777</v>
      </c>
      <c r="F357">
        <v>14</v>
      </c>
      <c r="G357" t="s">
        <v>1247</v>
      </c>
      <c r="H357" t="s">
        <v>1248</v>
      </c>
      <c r="I357" t="s">
        <v>1142</v>
      </c>
      <c r="J357" t="s">
        <v>1150</v>
      </c>
    </row>
    <row r="358" spans="1:10" ht="13" x14ac:dyDescent="0.15">
      <c r="A358" s="1">
        <v>357</v>
      </c>
      <c r="B358" s="1">
        <v>12</v>
      </c>
      <c r="C358" s="1" t="s">
        <v>766</v>
      </c>
      <c r="D358" s="1" t="s">
        <v>46</v>
      </c>
      <c r="E358" s="1" t="s">
        <v>713</v>
      </c>
      <c r="F358">
        <v>8</v>
      </c>
      <c r="G358" t="s">
        <v>1247</v>
      </c>
      <c r="H358" t="s">
        <v>1248</v>
      </c>
      <c r="I358" t="s">
        <v>1144</v>
      </c>
      <c r="J358" t="s">
        <v>1150</v>
      </c>
    </row>
    <row r="359" spans="1:10" ht="13" x14ac:dyDescent="0.15">
      <c r="A359" s="1">
        <v>358</v>
      </c>
      <c r="B359" s="1">
        <v>12</v>
      </c>
      <c r="C359" s="1" t="s">
        <v>722</v>
      </c>
      <c r="D359" s="1" t="s">
        <v>26</v>
      </c>
      <c r="E359" s="1" t="s">
        <v>763</v>
      </c>
      <c r="F359">
        <v>6</v>
      </c>
      <c r="G359" t="s">
        <v>1247</v>
      </c>
      <c r="H359" t="s">
        <v>1248</v>
      </c>
      <c r="I359" t="s">
        <v>1144</v>
      </c>
      <c r="J359" t="s">
        <v>1150</v>
      </c>
    </row>
    <row r="360" spans="1:10" ht="13" x14ac:dyDescent="0.15">
      <c r="A360" s="1">
        <v>359</v>
      </c>
      <c r="B360" s="1">
        <v>12</v>
      </c>
      <c r="C360" s="1" t="s">
        <v>772</v>
      </c>
      <c r="D360" s="1" t="s">
        <v>84</v>
      </c>
      <c r="E360" s="1" t="s">
        <v>771</v>
      </c>
      <c r="F360">
        <v>7</v>
      </c>
      <c r="G360" t="s">
        <v>1247</v>
      </c>
      <c r="H360" t="s">
        <v>1248</v>
      </c>
      <c r="I360" t="s">
        <v>1142</v>
      </c>
      <c r="J360" t="s">
        <v>1150</v>
      </c>
    </row>
    <row r="361" spans="1:10" ht="13" x14ac:dyDescent="0.15">
      <c r="A361" s="1">
        <v>360</v>
      </c>
      <c r="B361" s="1">
        <v>12</v>
      </c>
      <c r="C361" s="1" t="s">
        <v>662</v>
      </c>
      <c r="D361" s="1" t="s">
        <v>535</v>
      </c>
      <c r="E361" s="1" t="s">
        <v>717</v>
      </c>
      <c r="F361" t="s">
        <v>1150</v>
      </c>
      <c r="G361" t="s">
        <v>1247</v>
      </c>
      <c r="H361" t="s">
        <v>1248</v>
      </c>
      <c r="I361" t="s">
        <v>1150</v>
      </c>
      <c r="J361" t="s">
        <v>1150</v>
      </c>
    </row>
    <row r="362" spans="1:10" ht="13" x14ac:dyDescent="0.15">
      <c r="A362" s="1">
        <v>361</v>
      </c>
      <c r="B362" s="1">
        <v>12</v>
      </c>
      <c r="C362" s="1" t="s">
        <v>800</v>
      </c>
      <c r="D362" s="1" t="s">
        <v>79</v>
      </c>
      <c r="E362" s="1" t="s">
        <v>721</v>
      </c>
      <c r="F362">
        <v>8</v>
      </c>
      <c r="G362" t="s">
        <v>1247</v>
      </c>
      <c r="H362" t="s">
        <v>1248</v>
      </c>
      <c r="I362" t="s">
        <v>1142</v>
      </c>
      <c r="J362" t="s">
        <v>1150</v>
      </c>
    </row>
    <row r="363" spans="1:10" ht="13" x14ac:dyDescent="0.15">
      <c r="A363" s="1">
        <v>362</v>
      </c>
      <c r="B363" s="1">
        <v>12</v>
      </c>
      <c r="C363" s="1" t="s">
        <v>796</v>
      </c>
      <c r="D363" s="1" t="s">
        <v>194</v>
      </c>
      <c r="E363" s="1" t="s">
        <v>741</v>
      </c>
      <c r="F363">
        <v>9</v>
      </c>
      <c r="G363" t="s">
        <v>1247</v>
      </c>
      <c r="H363" t="s">
        <v>1248</v>
      </c>
      <c r="I363" t="s">
        <v>1144</v>
      </c>
      <c r="J363">
        <v>-31</v>
      </c>
    </row>
    <row r="364" spans="1:10" ht="13" x14ac:dyDescent="0.15">
      <c r="A364" s="1">
        <v>363</v>
      </c>
      <c r="B364" s="1">
        <v>12</v>
      </c>
      <c r="C364" s="1" t="s">
        <v>752</v>
      </c>
      <c r="D364" s="1" t="s">
        <v>171</v>
      </c>
      <c r="E364" s="1" t="s">
        <v>773</v>
      </c>
      <c r="F364">
        <v>14</v>
      </c>
      <c r="G364" t="s">
        <v>1247</v>
      </c>
      <c r="H364" t="s">
        <v>1248</v>
      </c>
      <c r="I364" t="s">
        <v>1142</v>
      </c>
      <c r="J364" t="s">
        <v>1150</v>
      </c>
    </row>
    <row r="365" spans="1:10" ht="13" x14ac:dyDescent="0.15">
      <c r="A365" s="1">
        <v>364</v>
      </c>
      <c r="B365" s="1">
        <v>12</v>
      </c>
      <c r="C365" s="1" t="s">
        <v>802</v>
      </c>
      <c r="D365" s="1" t="s">
        <v>23</v>
      </c>
      <c r="E365" s="1" t="s">
        <v>775</v>
      </c>
      <c r="F365">
        <v>9</v>
      </c>
      <c r="G365" t="s">
        <v>1247</v>
      </c>
      <c r="H365" t="s">
        <v>1248</v>
      </c>
      <c r="I365" t="s">
        <v>1142</v>
      </c>
      <c r="J365" t="s">
        <v>1150</v>
      </c>
    </row>
    <row r="366" spans="1:10" ht="13" x14ac:dyDescent="0.15">
      <c r="A366" s="1">
        <v>365</v>
      </c>
      <c r="B366" s="1">
        <v>12</v>
      </c>
      <c r="C366" s="1" t="s">
        <v>762</v>
      </c>
      <c r="D366" s="1" t="s">
        <v>164</v>
      </c>
      <c r="E366" s="1" t="s">
        <v>781</v>
      </c>
      <c r="F366">
        <v>10</v>
      </c>
      <c r="G366" t="s">
        <v>1247</v>
      </c>
      <c r="H366" t="s">
        <v>1248</v>
      </c>
      <c r="I366" t="s">
        <v>1143</v>
      </c>
      <c r="J366" t="s">
        <v>1150</v>
      </c>
    </row>
    <row r="367" spans="1:10" ht="13" x14ac:dyDescent="0.15">
      <c r="A367" s="1">
        <v>366</v>
      </c>
      <c r="B367" s="1">
        <v>12</v>
      </c>
      <c r="C367" s="1" t="s">
        <v>862</v>
      </c>
      <c r="D367" s="1" t="s">
        <v>135</v>
      </c>
      <c r="E367" s="1" t="s">
        <v>783</v>
      </c>
      <c r="F367">
        <v>14</v>
      </c>
      <c r="G367" t="s">
        <v>1247</v>
      </c>
      <c r="H367" t="s">
        <v>1248</v>
      </c>
      <c r="I367" t="s">
        <v>1143</v>
      </c>
      <c r="J367" t="s">
        <v>1150</v>
      </c>
    </row>
    <row r="368" spans="1:10" ht="13" x14ac:dyDescent="0.15">
      <c r="A368" s="1">
        <v>367</v>
      </c>
      <c r="B368" s="1">
        <v>12</v>
      </c>
      <c r="C368" s="1" t="s">
        <v>754</v>
      </c>
      <c r="D368" s="1" t="s">
        <v>20</v>
      </c>
      <c r="E368" s="1" t="s">
        <v>755</v>
      </c>
      <c r="F368">
        <v>5</v>
      </c>
      <c r="G368" t="s">
        <v>1247</v>
      </c>
      <c r="H368" t="s">
        <v>1248</v>
      </c>
      <c r="I368" t="s">
        <v>1143</v>
      </c>
      <c r="J368">
        <v>-93</v>
      </c>
    </row>
    <row r="369" spans="1:10" ht="13" x14ac:dyDescent="0.15">
      <c r="A369" s="1">
        <v>368</v>
      </c>
      <c r="B369" s="1">
        <v>12</v>
      </c>
      <c r="C369" s="1" t="s">
        <v>846</v>
      </c>
      <c r="D369" s="1" t="s">
        <v>41</v>
      </c>
      <c r="E369" s="1" t="s">
        <v>779</v>
      </c>
      <c r="F369">
        <v>6</v>
      </c>
      <c r="G369" t="s">
        <v>1247</v>
      </c>
      <c r="H369" t="s">
        <v>1248</v>
      </c>
      <c r="I369" t="s">
        <v>1142</v>
      </c>
      <c r="J369" t="s">
        <v>1150</v>
      </c>
    </row>
    <row r="370" spans="1:10" ht="13" x14ac:dyDescent="0.15">
      <c r="A370" s="1">
        <v>369</v>
      </c>
      <c r="B370" s="1">
        <v>12</v>
      </c>
      <c r="C370" s="1" t="s">
        <v>724</v>
      </c>
      <c r="D370" s="1" t="s">
        <v>49</v>
      </c>
      <c r="E370" s="1" t="s">
        <v>789</v>
      </c>
      <c r="F370">
        <v>14</v>
      </c>
      <c r="G370" t="s">
        <v>1247</v>
      </c>
      <c r="H370" t="s">
        <v>1248</v>
      </c>
      <c r="I370" t="s">
        <v>1143</v>
      </c>
      <c r="J370" t="s">
        <v>1150</v>
      </c>
    </row>
    <row r="371" spans="1:10" ht="13" x14ac:dyDescent="0.15">
      <c r="A371" s="1">
        <v>370</v>
      </c>
      <c r="B371" s="1">
        <v>12</v>
      </c>
      <c r="C371" s="1" t="s">
        <v>848</v>
      </c>
      <c r="D371" s="1" t="s">
        <v>79</v>
      </c>
      <c r="E371" s="1" t="s">
        <v>799</v>
      </c>
      <c r="F371">
        <v>8</v>
      </c>
      <c r="G371" t="s">
        <v>1247</v>
      </c>
      <c r="H371" t="s">
        <v>1248</v>
      </c>
      <c r="I371" t="s">
        <v>1143</v>
      </c>
      <c r="J371" t="s">
        <v>1150</v>
      </c>
    </row>
    <row r="372" spans="1:10" ht="13" x14ac:dyDescent="0.15">
      <c r="A372" s="1">
        <v>371</v>
      </c>
      <c r="B372" s="1">
        <v>12</v>
      </c>
      <c r="C372" s="1" t="s">
        <v>878</v>
      </c>
      <c r="D372" s="1" t="s">
        <v>103</v>
      </c>
      <c r="E372" s="1" t="s">
        <v>761</v>
      </c>
      <c r="F372">
        <v>12</v>
      </c>
      <c r="G372" t="s">
        <v>1247</v>
      </c>
      <c r="H372" t="s">
        <v>1248</v>
      </c>
      <c r="I372" t="s">
        <v>1144</v>
      </c>
      <c r="J372" t="s">
        <v>1150</v>
      </c>
    </row>
    <row r="373" spans="1:10" ht="13" x14ac:dyDescent="0.15">
      <c r="A373" s="1">
        <v>372</v>
      </c>
      <c r="B373" s="1">
        <v>12</v>
      </c>
      <c r="C373" s="1" t="s">
        <v>748</v>
      </c>
      <c r="D373" s="1" t="s">
        <v>70</v>
      </c>
      <c r="E373" s="1" t="s">
        <v>803</v>
      </c>
      <c r="F373">
        <v>5</v>
      </c>
      <c r="G373" t="s">
        <v>1247</v>
      </c>
      <c r="H373" t="s">
        <v>1248</v>
      </c>
      <c r="I373" t="s">
        <v>1144</v>
      </c>
      <c r="J373" t="s">
        <v>1150</v>
      </c>
    </row>
    <row r="374" spans="1:10" ht="13" x14ac:dyDescent="0.15">
      <c r="A374" s="1">
        <v>373</v>
      </c>
      <c r="B374" s="1">
        <v>12</v>
      </c>
      <c r="C374" s="1" t="s">
        <v>792</v>
      </c>
      <c r="D374" s="1" t="s">
        <v>135</v>
      </c>
      <c r="E374" s="1" t="s">
        <v>791</v>
      </c>
      <c r="F374">
        <v>14</v>
      </c>
      <c r="G374" t="s">
        <v>1247</v>
      </c>
      <c r="H374" t="s">
        <v>1248</v>
      </c>
      <c r="I374" t="s">
        <v>1143</v>
      </c>
      <c r="J374" t="s">
        <v>1150</v>
      </c>
    </row>
    <row r="375" spans="1:10" ht="13" x14ac:dyDescent="0.15">
      <c r="A375" s="1">
        <v>374</v>
      </c>
      <c r="B375" s="1">
        <v>12</v>
      </c>
      <c r="C375" s="1" t="s">
        <v>782</v>
      </c>
      <c r="D375" s="1" t="s">
        <v>79</v>
      </c>
      <c r="E375" s="1" t="s">
        <v>805</v>
      </c>
      <c r="F375">
        <v>8</v>
      </c>
      <c r="G375" t="s">
        <v>1247</v>
      </c>
      <c r="H375" t="s">
        <v>1248</v>
      </c>
      <c r="I375" t="s">
        <v>1143</v>
      </c>
      <c r="J375" t="s">
        <v>1150</v>
      </c>
    </row>
    <row r="376" spans="1:10" ht="13" x14ac:dyDescent="0.15">
      <c r="A376" s="1">
        <v>375</v>
      </c>
      <c r="B376" s="1">
        <v>12</v>
      </c>
      <c r="C376" s="1" t="s">
        <v>985</v>
      </c>
      <c r="D376" s="1" t="s">
        <v>35</v>
      </c>
      <c r="E376" s="1" t="s">
        <v>765</v>
      </c>
      <c r="F376">
        <v>8</v>
      </c>
      <c r="G376" t="s">
        <v>1247</v>
      </c>
      <c r="H376" t="s">
        <v>1248</v>
      </c>
      <c r="I376" t="s">
        <v>1142</v>
      </c>
      <c r="J376">
        <v>-45</v>
      </c>
    </row>
    <row r="377" spans="1:10" ht="13" x14ac:dyDescent="0.15">
      <c r="A377" s="1">
        <v>376</v>
      </c>
      <c r="B377" s="1">
        <v>12</v>
      </c>
      <c r="C377" s="1" t="s">
        <v>788</v>
      </c>
      <c r="D377" s="1" t="s">
        <v>98</v>
      </c>
      <c r="E377" s="1" t="s">
        <v>807</v>
      </c>
      <c r="F377">
        <v>9</v>
      </c>
      <c r="G377" t="s">
        <v>1247</v>
      </c>
      <c r="H377" t="s">
        <v>1248</v>
      </c>
      <c r="I377" t="s">
        <v>1143</v>
      </c>
      <c r="J377" t="s">
        <v>1150</v>
      </c>
    </row>
    <row r="378" spans="1:10" ht="13" x14ac:dyDescent="0.15">
      <c r="A378" s="1">
        <v>377</v>
      </c>
      <c r="B378" s="1">
        <v>12</v>
      </c>
      <c r="C378" s="1" t="s">
        <v>778</v>
      </c>
      <c r="D378" s="1" t="s">
        <v>32</v>
      </c>
      <c r="E378" s="1" t="s">
        <v>793</v>
      </c>
      <c r="F378">
        <v>10</v>
      </c>
      <c r="G378" t="s">
        <v>1247</v>
      </c>
      <c r="H378" t="s">
        <v>1248</v>
      </c>
      <c r="I378" t="s">
        <v>1144</v>
      </c>
      <c r="J378" t="s">
        <v>1150</v>
      </c>
    </row>
    <row r="379" spans="1:10" ht="13" x14ac:dyDescent="0.15">
      <c r="A379" s="1">
        <v>378</v>
      </c>
      <c r="B379" s="1">
        <v>12</v>
      </c>
      <c r="C379" s="1" t="s">
        <v>764</v>
      </c>
      <c r="D379" s="1" t="s">
        <v>38</v>
      </c>
      <c r="E379" s="1" t="s">
        <v>769</v>
      </c>
      <c r="F379">
        <v>14</v>
      </c>
      <c r="G379" t="s">
        <v>1247</v>
      </c>
      <c r="H379" t="s">
        <v>1248</v>
      </c>
      <c r="I379" t="s">
        <v>1148</v>
      </c>
      <c r="J379" t="s">
        <v>1150</v>
      </c>
    </row>
    <row r="380" spans="1:10" ht="13" x14ac:dyDescent="0.15">
      <c r="A380" s="1">
        <v>379</v>
      </c>
      <c r="B380" s="1">
        <v>12</v>
      </c>
      <c r="C380" s="1" t="s">
        <v>1004</v>
      </c>
      <c r="D380" s="1" t="s">
        <v>194</v>
      </c>
      <c r="E380" s="1" t="s">
        <v>815</v>
      </c>
      <c r="F380">
        <v>9</v>
      </c>
      <c r="G380" t="s">
        <v>1247</v>
      </c>
      <c r="H380" t="s">
        <v>1248</v>
      </c>
      <c r="I380" t="s">
        <v>1144</v>
      </c>
      <c r="J380" t="s">
        <v>1150</v>
      </c>
    </row>
    <row r="381" spans="1:10" ht="13" x14ac:dyDescent="0.15">
      <c r="A381" s="1">
        <v>380</v>
      </c>
      <c r="B381" s="1">
        <v>12</v>
      </c>
      <c r="C381" s="1" t="s">
        <v>712</v>
      </c>
      <c r="D381" s="1" t="s">
        <v>535</v>
      </c>
      <c r="E381" s="1" t="s">
        <v>767</v>
      </c>
      <c r="F381" t="s">
        <v>1150</v>
      </c>
      <c r="G381" t="s">
        <v>1247</v>
      </c>
      <c r="H381" t="s">
        <v>1248</v>
      </c>
      <c r="I381" t="s">
        <v>1150</v>
      </c>
      <c r="J381" t="s">
        <v>1150</v>
      </c>
    </row>
    <row r="382" spans="1:10" ht="13" x14ac:dyDescent="0.15">
      <c r="A382" s="1">
        <v>381</v>
      </c>
      <c r="B382" s="1">
        <v>12</v>
      </c>
      <c r="C382" s="1" t="s">
        <v>880</v>
      </c>
      <c r="D382" s="1" t="s">
        <v>79</v>
      </c>
      <c r="E382" s="1" t="s">
        <v>809</v>
      </c>
      <c r="F382">
        <v>8</v>
      </c>
      <c r="G382" t="s">
        <v>1247</v>
      </c>
      <c r="H382" t="s">
        <v>1248</v>
      </c>
      <c r="I382" t="s">
        <v>1142</v>
      </c>
      <c r="J382">
        <v>-34</v>
      </c>
    </row>
    <row r="383" spans="1:10" ht="13" x14ac:dyDescent="0.15">
      <c r="A383" s="1">
        <v>382</v>
      </c>
      <c r="B383" s="1">
        <v>12</v>
      </c>
      <c r="C383" s="1" t="s">
        <v>836</v>
      </c>
      <c r="D383" s="1" t="s">
        <v>67</v>
      </c>
      <c r="E383" s="1" t="s">
        <v>837</v>
      </c>
      <c r="F383">
        <v>11</v>
      </c>
      <c r="G383" t="s">
        <v>1249</v>
      </c>
      <c r="H383" t="s">
        <v>1250</v>
      </c>
      <c r="I383" t="s">
        <v>1143</v>
      </c>
      <c r="J383">
        <v>-17</v>
      </c>
    </row>
    <row r="384" spans="1:10" ht="13" x14ac:dyDescent="0.15">
      <c r="A384" s="1">
        <v>383</v>
      </c>
      <c r="B384" s="1">
        <v>12</v>
      </c>
      <c r="C384" s="1" t="s">
        <v>818</v>
      </c>
      <c r="D384" s="1" t="s">
        <v>26</v>
      </c>
      <c r="E384" s="1" t="s">
        <v>817</v>
      </c>
      <c r="F384">
        <v>6</v>
      </c>
      <c r="G384" t="s">
        <v>1247</v>
      </c>
      <c r="H384" t="s">
        <v>1248</v>
      </c>
      <c r="I384" t="s">
        <v>1142</v>
      </c>
      <c r="J384" t="s">
        <v>1150</v>
      </c>
    </row>
    <row r="385" spans="1:10" ht="13" x14ac:dyDescent="0.15">
      <c r="A385" s="1">
        <v>384</v>
      </c>
      <c r="B385" s="1">
        <v>12</v>
      </c>
      <c r="C385" s="1" t="s">
        <v>806</v>
      </c>
      <c r="D385" s="1" t="s">
        <v>164</v>
      </c>
      <c r="E385" s="1" t="s">
        <v>821</v>
      </c>
      <c r="F385">
        <v>10</v>
      </c>
      <c r="G385" t="s">
        <v>1249</v>
      </c>
      <c r="H385" t="s">
        <v>1250</v>
      </c>
      <c r="I385" t="s">
        <v>1143</v>
      </c>
      <c r="J385" t="s">
        <v>1150</v>
      </c>
    </row>
    <row r="386" spans="1:10" ht="13" x14ac:dyDescent="0.15">
      <c r="A386" s="1">
        <v>385</v>
      </c>
      <c r="B386" s="1">
        <v>12</v>
      </c>
      <c r="C386" s="1" t="s">
        <v>876</v>
      </c>
      <c r="D386" s="1" t="s">
        <v>20</v>
      </c>
      <c r="E386" s="1" t="s">
        <v>877</v>
      </c>
      <c r="F386">
        <v>5</v>
      </c>
      <c r="G386" t="s">
        <v>1249</v>
      </c>
      <c r="H386" t="s">
        <v>1250</v>
      </c>
      <c r="I386" t="s">
        <v>1142</v>
      </c>
      <c r="J386" t="s">
        <v>1150</v>
      </c>
    </row>
    <row r="387" spans="1:10" ht="13" x14ac:dyDescent="0.15">
      <c r="A387" s="1">
        <v>386</v>
      </c>
      <c r="B387" s="1">
        <v>12</v>
      </c>
      <c r="C387" s="1" t="s">
        <v>888</v>
      </c>
      <c r="D387" s="1" t="s">
        <v>17</v>
      </c>
      <c r="E387" s="1" t="s">
        <v>887</v>
      </c>
      <c r="F387">
        <v>10</v>
      </c>
      <c r="G387" t="s">
        <v>1249</v>
      </c>
      <c r="H387" t="s">
        <v>1250</v>
      </c>
      <c r="I387" t="s">
        <v>1144</v>
      </c>
      <c r="J387">
        <v>-130</v>
      </c>
    </row>
    <row r="388" spans="1:10" ht="13" x14ac:dyDescent="0.15">
      <c r="A388" s="1">
        <v>387</v>
      </c>
      <c r="B388" s="1">
        <v>12</v>
      </c>
      <c r="C388" s="1" t="s">
        <v>834</v>
      </c>
      <c r="D388" s="1" t="s">
        <v>151</v>
      </c>
      <c r="E388" s="1" t="s">
        <v>829</v>
      </c>
      <c r="F388">
        <v>10</v>
      </c>
      <c r="G388" t="s">
        <v>1247</v>
      </c>
      <c r="H388" t="s">
        <v>1248</v>
      </c>
      <c r="I388" t="s">
        <v>1142</v>
      </c>
      <c r="J388" t="s">
        <v>1150</v>
      </c>
    </row>
    <row r="389" spans="1:10" ht="13" x14ac:dyDescent="0.15">
      <c r="A389" s="1">
        <v>388</v>
      </c>
      <c r="B389" s="1">
        <v>13</v>
      </c>
      <c r="C389" s="1" t="s">
        <v>716</v>
      </c>
      <c r="D389" s="1" t="s">
        <v>535</v>
      </c>
      <c r="E389" s="1" t="s">
        <v>801</v>
      </c>
      <c r="F389" t="s">
        <v>1150</v>
      </c>
      <c r="G389" t="s">
        <v>1247</v>
      </c>
      <c r="H389" t="s">
        <v>1248</v>
      </c>
      <c r="I389" t="s">
        <v>1150</v>
      </c>
      <c r="J389" t="s">
        <v>1150</v>
      </c>
    </row>
    <row r="390" spans="1:10" ht="13" x14ac:dyDescent="0.15">
      <c r="A390" s="1">
        <v>389</v>
      </c>
      <c r="B390" s="1">
        <v>13</v>
      </c>
      <c r="C390" s="1" t="s">
        <v>844</v>
      </c>
      <c r="D390" s="1" t="s">
        <v>29</v>
      </c>
      <c r="E390" s="1" t="s">
        <v>811</v>
      </c>
      <c r="F390">
        <v>8</v>
      </c>
      <c r="G390" t="s">
        <v>1247</v>
      </c>
      <c r="H390" t="s">
        <v>1248</v>
      </c>
      <c r="I390" t="s">
        <v>1144</v>
      </c>
      <c r="J390" t="s">
        <v>1150</v>
      </c>
    </row>
    <row r="391" spans="1:10" ht="13" x14ac:dyDescent="0.15">
      <c r="A391" s="1">
        <v>390</v>
      </c>
      <c r="B391" s="1">
        <v>13</v>
      </c>
      <c r="C391" s="1" t="s">
        <v>790</v>
      </c>
      <c r="D391" s="1" t="s">
        <v>122</v>
      </c>
      <c r="E391" s="1" t="s">
        <v>819</v>
      </c>
      <c r="F391">
        <v>11</v>
      </c>
      <c r="G391" t="s">
        <v>1247</v>
      </c>
      <c r="H391" t="s">
        <v>1248</v>
      </c>
      <c r="I391" t="s">
        <v>1142</v>
      </c>
      <c r="J391" t="s">
        <v>1150</v>
      </c>
    </row>
    <row r="392" spans="1:10" ht="13" x14ac:dyDescent="0.15">
      <c r="A392" s="1">
        <v>391</v>
      </c>
      <c r="B392" s="1">
        <v>13</v>
      </c>
      <c r="C392" s="1" t="s">
        <v>822</v>
      </c>
      <c r="D392" s="1" t="s">
        <v>49</v>
      </c>
      <c r="E392" s="1" t="s">
        <v>823</v>
      </c>
      <c r="F392">
        <v>14</v>
      </c>
      <c r="G392" t="s">
        <v>1247</v>
      </c>
      <c r="H392" t="s">
        <v>1248</v>
      </c>
      <c r="I392" t="s">
        <v>1142</v>
      </c>
      <c r="J392" t="s">
        <v>1150</v>
      </c>
    </row>
    <row r="393" spans="1:10" ht="13" x14ac:dyDescent="0.15">
      <c r="A393" s="1">
        <v>392</v>
      </c>
      <c r="B393" s="1">
        <v>13</v>
      </c>
      <c r="C393" s="1" t="s">
        <v>874</v>
      </c>
      <c r="D393" s="1" t="s">
        <v>98</v>
      </c>
      <c r="E393" s="1" t="s">
        <v>831</v>
      </c>
      <c r="F393">
        <v>9</v>
      </c>
      <c r="G393" t="s">
        <v>1247</v>
      </c>
      <c r="H393" t="s">
        <v>1248</v>
      </c>
      <c r="I393" t="s">
        <v>1143</v>
      </c>
      <c r="J393" t="s">
        <v>1150</v>
      </c>
    </row>
    <row r="394" spans="1:10" ht="13" x14ac:dyDescent="0.15">
      <c r="A394" s="1">
        <v>393</v>
      </c>
      <c r="B394" s="1">
        <v>13</v>
      </c>
      <c r="C394" s="1" t="s">
        <v>1034</v>
      </c>
      <c r="D394" s="1" t="s">
        <v>164</v>
      </c>
      <c r="E394" s="1" t="s">
        <v>827</v>
      </c>
      <c r="F394">
        <v>10</v>
      </c>
      <c r="G394" t="s">
        <v>1247</v>
      </c>
      <c r="H394" t="s">
        <v>1248</v>
      </c>
      <c r="I394" t="s">
        <v>1144</v>
      </c>
      <c r="J394" t="s">
        <v>1150</v>
      </c>
    </row>
    <row r="395" spans="1:10" ht="13" x14ac:dyDescent="0.15">
      <c r="A395" s="1">
        <v>394</v>
      </c>
      <c r="B395" s="1">
        <v>13</v>
      </c>
      <c r="C395" s="1" t="s">
        <v>814</v>
      </c>
      <c r="D395" s="1" t="s">
        <v>38</v>
      </c>
      <c r="E395" s="1" t="s">
        <v>835</v>
      </c>
      <c r="F395">
        <v>14</v>
      </c>
      <c r="G395" t="s">
        <v>1249</v>
      </c>
      <c r="H395" t="s">
        <v>1250</v>
      </c>
      <c r="I395" t="s">
        <v>1144</v>
      </c>
      <c r="J395" t="s">
        <v>1150</v>
      </c>
    </row>
    <row r="396" spans="1:10" ht="13" x14ac:dyDescent="0.15">
      <c r="A396" s="1">
        <v>395</v>
      </c>
      <c r="B396" s="1">
        <v>13</v>
      </c>
      <c r="C396" s="1" t="s">
        <v>904</v>
      </c>
      <c r="D396" s="1" t="s">
        <v>125</v>
      </c>
      <c r="E396" s="1" t="s">
        <v>813</v>
      </c>
      <c r="F396">
        <v>5</v>
      </c>
      <c r="G396" t="s">
        <v>1247</v>
      </c>
      <c r="H396" t="s">
        <v>1248</v>
      </c>
      <c r="I396" t="s">
        <v>1148</v>
      </c>
      <c r="J396" t="s">
        <v>1150</v>
      </c>
    </row>
    <row r="397" spans="1:10" ht="13" x14ac:dyDescent="0.15">
      <c r="A397" s="1">
        <v>396</v>
      </c>
      <c r="B397" s="1">
        <v>13</v>
      </c>
      <c r="C397" s="1" t="s">
        <v>989</v>
      </c>
      <c r="D397" s="1" t="s">
        <v>41</v>
      </c>
      <c r="E397" s="1" t="s">
        <v>839</v>
      </c>
      <c r="F397">
        <v>6</v>
      </c>
      <c r="G397" t="s">
        <v>1249</v>
      </c>
      <c r="H397" t="s">
        <v>1250</v>
      </c>
      <c r="I397" t="s">
        <v>1144</v>
      </c>
      <c r="J397" t="s">
        <v>1150</v>
      </c>
    </row>
    <row r="398" spans="1:10" ht="13" x14ac:dyDescent="0.15">
      <c r="A398" s="1">
        <v>397</v>
      </c>
      <c r="B398" s="1">
        <v>13</v>
      </c>
      <c r="C398" s="1" t="s">
        <v>615</v>
      </c>
      <c r="D398" s="1" t="s">
        <v>98</v>
      </c>
      <c r="E398" s="1" t="s">
        <v>797</v>
      </c>
      <c r="F398">
        <v>9</v>
      </c>
      <c r="G398" t="s">
        <v>1247</v>
      </c>
      <c r="H398" t="s">
        <v>1248</v>
      </c>
      <c r="I398" t="s">
        <v>1145</v>
      </c>
      <c r="J398" t="s">
        <v>1150</v>
      </c>
    </row>
    <row r="399" spans="1:10" ht="13" x14ac:dyDescent="0.15">
      <c r="A399" s="1">
        <v>398</v>
      </c>
      <c r="B399" s="1">
        <v>13</v>
      </c>
      <c r="C399" s="1" t="s">
        <v>896</v>
      </c>
      <c r="D399" s="1" t="s">
        <v>132</v>
      </c>
      <c r="E399" s="1" t="s">
        <v>825</v>
      </c>
      <c r="F399">
        <v>5</v>
      </c>
      <c r="G399" t="s">
        <v>1247</v>
      </c>
      <c r="H399" t="s">
        <v>1248</v>
      </c>
      <c r="I399" t="s">
        <v>1142</v>
      </c>
      <c r="J399" t="s">
        <v>1150</v>
      </c>
    </row>
    <row r="400" spans="1:10" ht="13" x14ac:dyDescent="0.15">
      <c r="A400" s="1">
        <v>399</v>
      </c>
      <c r="B400" s="1">
        <v>13</v>
      </c>
      <c r="C400" s="1" t="s">
        <v>824</v>
      </c>
      <c r="D400" s="1" t="s">
        <v>98</v>
      </c>
      <c r="E400" s="1" t="s">
        <v>847</v>
      </c>
      <c r="F400">
        <v>9</v>
      </c>
      <c r="G400" t="s">
        <v>1247</v>
      </c>
      <c r="H400" t="s">
        <v>1248</v>
      </c>
      <c r="I400" t="s">
        <v>1142</v>
      </c>
      <c r="J400" t="s">
        <v>1150</v>
      </c>
    </row>
    <row r="401" spans="1:10" ht="13" x14ac:dyDescent="0.15">
      <c r="A401" s="1">
        <v>400</v>
      </c>
      <c r="B401" s="1">
        <v>13</v>
      </c>
      <c r="C401" s="1" t="s">
        <v>736</v>
      </c>
      <c r="D401" s="1" t="s">
        <v>535</v>
      </c>
      <c r="E401" s="1" t="s">
        <v>833</v>
      </c>
      <c r="F401" t="s">
        <v>1150</v>
      </c>
      <c r="G401" t="s">
        <v>1247</v>
      </c>
      <c r="H401" t="s">
        <v>1248</v>
      </c>
      <c r="I401" t="s">
        <v>1150</v>
      </c>
      <c r="J401" t="s">
        <v>1150</v>
      </c>
    </row>
    <row r="402" spans="1:10" ht="13" x14ac:dyDescent="0.15">
      <c r="A402" s="1">
        <v>401</v>
      </c>
      <c r="B402" s="1">
        <v>13</v>
      </c>
      <c r="C402" s="1" t="s">
        <v>892</v>
      </c>
      <c r="D402" s="1" t="s">
        <v>29</v>
      </c>
      <c r="E402" s="1" t="s">
        <v>841</v>
      </c>
      <c r="F402">
        <v>8</v>
      </c>
      <c r="G402" t="s">
        <v>1249</v>
      </c>
      <c r="H402" t="s">
        <v>1250</v>
      </c>
      <c r="I402" t="s">
        <v>1142</v>
      </c>
      <c r="J402" t="s">
        <v>1150</v>
      </c>
    </row>
    <row r="403" spans="1:10" ht="13" x14ac:dyDescent="0.15">
      <c r="A403" s="1">
        <v>402</v>
      </c>
      <c r="B403" s="1">
        <v>13</v>
      </c>
      <c r="C403" s="1" t="s">
        <v>928</v>
      </c>
      <c r="D403" s="1" t="s">
        <v>46</v>
      </c>
      <c r="E403" s="1" t="s">
        <v>889</v>
      </c>
      <c r="F403">
        <v>8</v>
      </c>
      <c r="G403" t="s">
        <v>1249</v>
      </c>
      <c r="H403" t="s">
        <v>1250</v>
      </c>
      <c r="I403" t="s">
        <v>1143</v>
      </c>
      <c r="J403">
        <v>-31</v>
      </c>
    </row>
    <row r="404" spans="1:10" ht="13" x14ac:dyDescent="0.15">
      <c r="A404" s="1">
        <v>403</v>
      </c>
      <c r="B404" s="1">
        <v>13</v>
      </c>
      <c r="C404" s="1" t="s">
        <v>868</v>
      </c>
      <c r="D404" s="1" t="s">
        <v>98</v>
      </c>
      <c r="E404" s="1" t="s">
        <v>851</v>
      </c>
      <c r="F404">
        <v>9</v>
      </c>
      <c r="G404" t="s">
        <v>1249</v>
      </c>
      <c r="H404" t="s">
        <v>1250</v>
      </c>
      <c r="I404" t="s">
        <v>1142</v>
      </c>
      <c r="J404" t="s">
        <v>1150</v>
      </c>
    </row>
    <row r="405" spans="1:10" ht="13" x14ac:dyDescent="0.15">
      <c r="A405" s="1">
        <v>404</v>
      </c>
      <c r="B405" s="1">
        <v>13</v>
      </c>
      <c r="C405" s="1" t="s">
        <v>1032</v>
      </c>
      <c r="D405" s="1" t="s">
        <v>171</v>
      </c>
      <c r="E405" s="1" t="s">
        <v>843</v>
      </c>
      <c r="F405">
        <v>14</v>
      </c>
      <c r="G405" t="s">
        <v>1247</v>
      </c>
      <c r="H405" t="s">
        <v>1248</v>
      </c>
      <c r="I405" t="s">
        <v>1142</v>
      </c>
      <c r="J405">
        <v>-109</v>
      </c>
    </row>
    <row r="406" spans="1:10" ht="13" x14ac:dyDescent="0.15">
      <c r="A406" s="1">
        <v>405</v>
      </c>
      <c r="B406" s="1">
        <v>13</v>
      </c>
      <c r="C406" s="1" t="s">
        <v>760</v>
      </c>
      <c r="D406" s="1" t="s">
        <v>103</v>
      </c>
      <c r="E406" s="1" t="s">
        <v>845</v>
      </c>
      <c r="F406">
        <v>12</v>
      </c>
      <c r="G406" t="s">
        <v>1247</v>
      </c>
      <c r="H406" t="s">
        <v>1248</v>
      </c>
      <c r="I406" t="s">
        <v>1144</v>
      </c>
      <c r="J406" t="s">
        <v>1150</v>
      </c>
    </row>
    <row r="407" spans="1:10" ht="13" x14ac:dyDescent="0.15">
      <c r="A407" s="1">
        <v>406</v>
      </c>
      <c r="B407" s="1">
        <v>13</v>
      </c>
      <c r="C407" s="1" t="s">
        <v>816</v>
      </c>
      <c r="D407" s="1" t="s">
        <v>23</v>
      </c>
      <c r="E407" s="1" t="s">
        <v>869</v>
      </c>
      <c r="F407">
        <v>9</v>
      </c>
      <c r="G407" t="s">
        <v>1247</v>
      </c>
      <c r="H407" t="s">
        <v>1248</v>
      </c>
      <c r="I407" t="s">
        <v>1142</v>
      </c>
      <c r="J407" t="s">
        <v>1150</v>
      </c>
    </row>
    <row r="408" spans="1:10" ht="13" x14ac:dyDescent="0.15">
      <c r="A408" s="1">
        <v>407</v>
      </c>
      <c r="B408" s="1">
        <v>13</v>
      </c>
      <c r="C408" s="1" t="s">
        <v>994</v>
      </c>
      <c r="D408" s="1" t="s">
        <v>76</v>
      </c>
      <c r="E408" s="1" t="s">
        <v>852</v>
      </c>
      <c r="F408">
        <v>12</v>
      </c>
      <c r="G408" t="s">
        <v>1249</v>
      </c>
      <c r="H408" t="s">
        <v>1250</v>
      </c>
      <c r="I408" t="s">
        <v>1142</v>
      </c>
      <c r="J408" t="s">
        <v>1150</v>
      </c>
    </row>
    <row r="409" spans="1:10" ht="13" x14ac:dyDescent="0.15">
      <c r="A409" s="1">
        <v>408</v>
      </c>
      <c r="B409" s="1">
        <v>13</v>
      </c>
      <c r="C409" s="1" t="s">
        <v>922</v>
      </c>
      <c r="D409" s="1" t="s">
        <v>52</v>
      </c>
      <c r="E409" s="1" t="s">
        <v>923</v>
      </c>
      <c r="F409">
        <v>8</v>
      </c>
      <c r="G409" t="s">
        <v>1249</v>
      </c>
      <c r="H409" t="s">
        <v>1250</v>
      </c>
      <c r="I409" t="s">
        <v>1143</v>
      </c>
      <c r="J409">
        <v>-63</v>
      </c>
    </row>
    <row r="410" spans="1:10" ht="13" x14ac:dyDescent="0.15">
      <c r="A410" s="1">
        <v>409</v>
      </c>
      <c r="B410" s="1">
        <v>13</v>
      </c>
      <c r="C410" s="1" t="s">
        <v>1154</v>
      </c>
      <c r="D410" s="1" t="s">
        <v>151</v>
      </c>
      <c r="E410" s="1" t="s">
        <v>849</v>
      </c>
      <c r="F410">
        <v>10</v>
      </c>
      <c r="G410" t="s">
        <v>1249</v>
      </c>
      <c r="H410" t="s">
        <v>1250</v>
      </c>
      <c r="I410" t="s">
        <v>1142</v>
      </c>
      <c r="J410" t="s">
        <v>1150</v>
      </c>
    </row>
    <row r="411" spans="1:10" ht="13" x14ac:dyDescent="0.15">
      <c r="A411" s="1">
        <v>410</v>
      </c>
      <c r="B411" s="1">
        <v>13</v>
      </c>
      <c r="C411" s="1" t="s">
        <v>770</v>
      </c>
      <c r="D411" s="1" t="s">
        <v>49</v>
      </c>
      <c r="E411" s="1" t="s">
        <v>854</v>
      </c>
      <c r="F411">
        <v>14</v>
      </c>
      <c r="G411" t="s">
        <v>1247</v>
      </c>
      <c r="H411" t="s">
        <v>1248</v>
      </c>
      <c r="I411" t="s">
        <v>1143</v>
      </c>
      <c r="J411" t="s">
        <v>1150</v>
      </c>
    </row>
    <row r="412" spans="1:10" ht="13" x14ac:dyDescent="0.15">
      <c r="A412" s="1">
        <v>411</v>
      </c>
      <c r="B412" s="1">
        <v>13</v>
      </c>
      <c r="C412" s="1" t="s">
        <v>850</v>
      </c>
      <c r="D412" s="1" t="s">
        <v>79</v>
      </c>
      <c r="E412" s="1" t="s">
        <v>871</v>
      </c>
      <c r="F412">
        <v>8</v>
      </c>
      <c r="G412" t="s">
        <v>1249</v>
      </c>
      <c r="H412" t="s">
        <v>1250</v>
      </c>
      <c r="I412" t="s">
        <v>1145</v>
      </c>
      <c r="J412" t="s">
        <v>1150</v>
      </c>
    </row>
    <row r="413" spans="1:10" ht="13" x14ac:dyDescent="0.15">
      <c r="A413" s="1">
        <v>412</v>
      </c>
      <c r="B413" s="1">
        <v>13</v>
      </c>
      <c r="C413" s="1" t="s">
        <v>938</v>
      </c>
      <c r="D413" s="1" t="s">
        <v>67</v>
      </c>
      <c r="E413" s="1" t="s">
        <v>879</v>
      </c>
      <c r="F413">
        <v>11</v>
      </c>
      <c r="G413" t="s">
        <v>1249</v>
      </c>
      <c r="H413" t="s">
        <v>1250</v>
      </c>
      <c r="I413" t="s">
        <v>1144</v>
      </c>
      <c r="J413" t="s">
        <v>1150</v>
      </c>
    </row>
    <row r="414" spans="1:10" ht="13" x14ac:dyDescent="0.15">
      <c r="A414" s="1">
        <v>413</v>
      </c>
      <c r="B414" s="1">
        <v>13</v>
      </c>
      <c r="C414" s="1" t="s">
        <v>864</v>
      </c>
      <c r="D414" s="1" t="s">
        <v>122</v>
      </c>
      <c r="E414" s="1" t="s">
        <v>865</v>
      </c>
      <c r="F414">
        <v>11</v>
      </c>
      <c r="G414" t="s">
        <v>1249</v>
      </c>
      <c r="H414" t="s">
        <v>1250</v>
      </c>
      <c r="I414" t="s">
        <v>1145</v>
      </c>
      <c r="J414" t="s">
        <v>1150</v>
      </c>
    </row>
    <row r="415" spans="1:10" ht="13" x14ac:dyDescent="0.15">
      <c r="A415" s="1">
        <v>414</v>
      </c>
      <c r="B415" s="1">
        <v>13</v>
      </c>
      <c r="C415" s="1" t="s">
        <v>1153</v>
      </c>
      <c r="D415" s="1" t="s">
        <v>93</v>
      </c>
      <c r="E415" s="1" t="s">
        <v>891</v>
      </c>
      <c r="F415">
        <v>8</v>
      </c>
      <c r="G415" t="s">
        <v>1249</v>
      </c>
      <c r="H415" t="s">
        <v>1250</v>
      </c>
      <c r="I415" t="s">
        <v>1142</v>
      </c>
      <c r="J415" t="s">
        <v>1150</v>
      </c>
    </row>
    <row r="416" spans="1:10" ht="13" x14ac:dyDescent="0.15">
      <c r="A416" s="1">
        <v>415</v>
      </c>
      <c r="B416" s="1">
        <v>13</v>
      </c>
      <c r="C416" s="1" t="s">
        <v>884</v>
      </c>
      <c r="D416" s="1" t="s">
        <v>135</v>
      </c>
      <c r="E416" s="1" t="s">
        <v>885</v>
      </c>
      <c r="F416">
        <v>14</v>
      </c>
      <c r="G416" t="s">
        <v>1249</v>
      </c>
      <c r="H416" t="s">
        <v>1250</v>
      </c>
      <c r="I416" t="s">
        <v>1143</v>
      </c>
      <c r="J416" t="s">
        <v>1150</v>
      </c>
    </row>
    <row r="417" spans="1:10" ht="13" x14ac:dyDescent="0.15">
      <c r="A417" s="1">
        <v>416</v>
      </c>
      <c r="B417" s="1">
        <v>13</v>
      </c>
      <c r="C417" s="1" t="s">
        <v>934</v>
      </c>
      <c r="D417" s="1" t="s">
        <v>164</v>
      </c>
      <c r="E417" s="1" t="s">
        <v>929</v>
      </c>
      <c r="F417">
        <v>10</v>
      </c>
      <c r="G417" t="s">
        <v>1249</v>
      </c>
      <c r="H417" t="s">
        <v>1250</v>
      </c>
      <c r="I417" t="s">
        <v>1145</v>
      </c>
      <c r="J417">
        <v>-145</v>
      </c>
    </row>
    <row r="418" spans="1:10" ht="13" x14ac:dyDescent="0.15">
      <c r="A418" s="1">
        <v>417</v>
      </c>
      <c r="B418" s="1">
        <v>13</v>
      </c>
      <c r="C418" s="1" t="s">
        <v>820</v>
      </c>
      <c r="D418" s="1" t="s">
        <v>41</v>
      </c>
      <c r="E418" s="1" t="s">
        <v>856</v>
      </c>
      <c r="F418">
        <v>6</v>
      </c>
      <c r="G418" t="s">
        <v>1247</v>
      </c>
      <c r="H418" t="s">
        <v>1248</v>
      </c>
      <c r="I418" t="s">
        <v>1143</v>
      </c>
      <c r="J418" t="s">
        <v>1150</v>
      </c>
    </row>
    <row r="419" spans="1:10" ht="13" x14ac:dyDescent="0.15">
      <c r="A419" s="1">
        <v>418</v>
      </c>
      <c r="B419" s="1">
        <v>13</v>
      </c>
      <c r="C419" s="1" t="s">
        <v>886</v>
      </c>
      <c r="D419" s="1" t="s">
        <v>122</v>
      </c>
      <c r="E419" s="1" t="s">
        <v>933</v>
      </c>
      <c r="F419">
        <v>11</v>
      </c>
      <c r="G419" t="s">
        <v>1249</v>
      </c>
      <c r="H419" t="s">
        <v>1250</v>
      </c>
      <c r="I419" t="s">
        <v>1143</v>
      </c>
      <c r="J419">
        <v>-44</v>
      </c>
    </row>
    <row r="420" spans="1:10" ht="13" x14ac:dyDescent="0.15">
      <c r="A420" s="1">
        <v>419</v>
      </c>
      <c r="B420" s="1">
        <v>13</v>
      </c>
      <c r="C420" s="1" t="s">
        <v>1183</v>
      </c>
      <c r="D420" s="1" t="s">
        <v>73</v>
      </c>
      <c r="E420" s="1" t="s">
        <v>858</v>
      </c>
      <c r="F420">
        <v>9</v>
      </c>
      <c r="G420" t="s">
        <v>1249</v>
      </c>
      <c r="H420" t="s">
        <v>1250</v>
      </c>
      <c r="I420" t="s">
        <v>1142</v>
      </c>
      <c r="J420" t="s">
        <v>1150</v>
      </c>
    </row>
    <row r="421" spans="1:10" ht="13" x14ac:dyDescent="0.15">
      <c r="A421" s="1">
        <v>420</v>
      </c>
      <c r="B421" s="1">
        <v>13</v>
      </c>
      <c r="C421" s="1" t="s">
        <v>932</v>
      </c>
      <c r="D421" s="1" t="s">
        <v>135</v>
      </c>
      <c r="E421" s="1" t="s">
        <v>935</v>
      </c>
      <c r="F421">
        <v>14</v>
      </c>
      <c r="G421" t="s">
        <v>1249</v>
      </c>
      <c r="H421" t="s">
        <v>1250</v>
      </c>
      <c r="I421" t="s">
        <v>1142</v>
      </c>
      <c r="J421" t="s">
        <v>1150</v>
      </c>
    </row>
    <row r="422" spans="1:10" ht="13" x14ac:dyDescent="0.15">
      <c r="A422" s="1">
        <v>421</v>
      </c>
      <c r="B422" s="1">
        <v>13</v>
      </c>
      <c r="C422" s="1" t="s">
        <v>826</v>
      </c>
      <c r="D422" s="1" t="s">
        <v>132</v>
      </c>
      <c r="E422" s="1" t="s">
        <v>895</v>
      </c>
      <c r="F422">
        <v>5</v>
      </c>
      <c r="G422" t="s">
        <v>1247</v>
      </c>
      <c r="H422" t="s">
        <v>1248</v>
      </c>
      <c r="I422" t="s">
        <v>1142</v>
      </c>
      <c r="J422" t="s">
        <v>1150</v>
      </c>
    </row>
    <row r="423" spans="1:10" ht="13" x14ac:dyDescent="0.15">
      <c r="A423" s="1">
        <v>422</v>
      </c>
      <c r="B423" s="1">
        <v>13</v>
      </c>
      <c r="C423" s="1" t="s">
        <v>872</v>
      </c>
      <c r="D423" s="1" t="s">
        <v>32</v>
      </c>
      <c r="E423" s="1" t="s">
        <v>860</v>
      </c>
      <c r="F423">
        <v>10</v>
      </c>
      <c r="G423" t="s">
        <v>1247</v>
      </c>
      <c r="H423" t="s">
        <v>1248</v>
      </c>
      <c r="I423" t="s">
        <v>1144</v>
      </c>
      <c r="J423" t="s">
        <v>1150</v>
      </c>
    </row>
    <row r="424" spans="1:10" ht="13" x14ac:dyDescent="0.15">
      <c r="A424" s="1">
        <v>423</v>
      </c>
      <c r="B424" s="1">
        <v>13</v>
      </c>
      <c r="C424" s="1" t="s">
        <v>943</v>
      </c>
      <c r="D424" s="1" t="s">
        <v>55</v>
      </c>
      <c r="E424" s="1" t="s">
        <v>861</v>
      </c>
      <c r="F424">
        <v>7</v>
      </c>
      <c r="G424" t="s">
        <v>1249</v>
      </c>
      <c r="H424" t="s">
        <v>1250</v>
      </c>
      <c r="I424" t="s">
        <v>1142</v>
      </c>
      <c r="J424" t="s">
        <v>1150</v>
      </c>
    </row>
    <row r="425" spans="1:10" ht="13" x14ac:dyDescent="0.15">
      <c r="A425" s="1">
        <v>424</v>
      </c>
      <c r="B425" s="1">
        <v>13</v>
      </c>
      <c r="C425" s="1" t="s">
        <v>768</v>
      </c>
      <c r="D425" s="1" t="s">
        <v>52</v>
      </c>
      <c r="E425" s="1" t="s">
        <v>867</v>
      </c>
      <c r="F425">
        <v>8</v>
      </c>
      <c r="G425" t="s">
        <v>1247</v>
      </c>
      <c r="H425" t="s">
        <v>1248</v>
      </c>
      <c r="I425" t="s">
        <v>1142</v>
      </c>
      <c r="J425" t="s">
        <v>1150</v>
      </c>
    </row>
    <row r="426" spans="1:10" ht="13" x14ac:dyDescent="0.15">
      <c r="A426" s="1">
        <v>425</v>
      </c>
      <c r="B426" s="1">
        <v>13</v>
      </c>
      <c r="C426" s="1" t="s">
        <v>1008</v>
      </c>
      <c r="D426" s="1" t="s">
        <v>49</v>
      </c>
      <c r="E426" s="1" t="s">
        <v>863</v>
      </c>
      <c r="F426">
        <v>14</v>
      </c>
      <c r="G426" t="s">
        <v>1249</v>
      </c>
      <c r="H426" t="s">
        <v>1250</v>
      </c>
      <c r="I426" t="s">
        <v>1143</v>
      </c>
      <c r="J426" t="s">
        <v>1150</v>
      </c>
    </row>
    <row r="427" spans="1:10" ht="13" x14ac:dyDescent="0.15">
      <c r="A427" s="1">
        <v>426</v>
      </c>
      <c r="B427" s="1">
        <v>13</v>
      </c>
      <c r="C427" s="1" t="s">
        <v>1151</v>
      </c>
      <c r="D427" s="1" t="s">
        <v>41</v>
      </c>
      <c r="E427" s="1" t="s">
        <v>875</v>
      </c>
      <c r="F427">
        <v>6</v>
      </c>
      <c r="G427" t="s">
        <v>1249</v>
      </c>
      <c r="H427" t="s">
        <v>1250</v>
      </c>
      <c r="I427" t="s">
        <v>1143</v>
      </c>
      <c r="J427" t="s">
        <v>1150</v>
      </c>
    </row>
    <row r="428" spans="1:10" ht="13" x14ac:dyDescent="0.15">
      <c r="A428" s="1">
        <v>427</v>
      </c>
      <c r="B428" s="1">
        <v>13</v>
      </c>
      <c r="C428" s="1" t="s">
        <v>1037</v>
      </c>
      <c r="D428" s="1" t="s">
        <v>135</v>
      </c>
      <c r="E428" s="1" t="s">
        <v>893</v>
      </c>
      <c r="F428">
        <v>14</v>
      </c>
      <c r="G428" t="s">
        <v>1249</v>
      </c>
      <c r="H428" t="s">
        <v>1250</v>
      </c>
      <c r="I428" t="s">
        <v>1143</v>
      </c>
      <c r="J428" t="s">
        <v>1150</v>
      </c>
    </row>
    <row r="429" spans="1:10" ht="13" x14ac:dyDescent="0.15">
      <c r="A429" s="1">
        <v>428</v>
      </c>
      <c r="B429" s="1">
        <v>13</v>
      </c>
      <c r="C429" s="1" t="s">
        <v>951</v>
      </c>
      <c r="D429" s="1" t="s">
        <v>140</v>
      </c>
      <c r="E429" s="1" t="s">
        <v>911</v>
      </c>
      <c r="F429">
        <v>12</v>
      </c>
      <c r="G429" t="s">
        <v>1249</v>
      </c>
      <c r="H429" t="s">
        <v>1250</v>
      </c>
      <c r="I429" t="s">
        <v>1144</v>
      </c>
      <c r="J429" t="s">
        <v>1150</v>
      </c>
    </row>
    <row r="430" spans="1:10" ht="13" x14ac:dyDescent="0.15">
      <c r="A430" s="1">
        <v>429</v>
      </c>
      <c r="B430" s="1">
        <v>13</v>
      </c>
      <c r="C430" s="1" t="s">
        <v>912</v>
      </c>
      <c r="D430" s="1" t="s">
        <v>58</v>
      </c>
      <c r="E430" s="1" t="s">
        <v>913</v>
      </c>
      <c r="F430">
        <v>12</v>
      </c>
      <c r="G430" t="s">
        <v>1249</v>
      </c>
      <c r="H430" t="s">
        <v>1250</v>
      </c>
      <c r="I430" t="s">
        <v>1143</v>
      </c>
      <c r="J430" t="s">
        <v>1150</v>
      </c>
    </row>
    <row r="431" spans="1:10" ht="13" x14ac:dyDescent="0.15">
      <c r="A431" s="1">
        <v>430</v>
      </c>
      <c r="B431" s="1">
        <v>13</v>
      </c>
      <c r="C431" s="1" t="s">
        <v>940</v>
      </c>
      <c r="D431" s="1" t="s">
        <v>35</v>
      </c>
      <c r="E431" s="1" t="s">
        <v>897</v>
      </c>
      <c r="F431">
        <v>8</v>
      </c>
      <c r="G431" t="s">
        <v>1249</v>
      </c>
      <c r="H431" t="s">
        <v>1250</v>
      </c>
      <c r="I431" t="s">
        <v>1143</v>
      </c>
      <c r="J431" t="s">
        <v>1150</v>
      </c>
    </row>
    <row r="432" spans="1:10" ht="13" x14ac:dyDescent="0.15">
      <c r="A432" s="1">
        <v>431</v>
      </c>
      <c r="B432" s="1">
        <v>13</v>
      </c>
      <c r="C432" s="1" t="s">
        <v>1130</v>
      </c>
      <c r="D432" s="1" t="s">
        <v>171</v>
      </c>
      <c r="E432" s="1" t="s">
        <v>881</v>
      </c>
      <c r="F432">
        <v>14</v>
      </c>
      <c r="G432" t="s">
        <v>1249</v>
      </c>
      <c r="H432" t="s">
        <v>1250</v>
      </c>
      <c r="I432" t="s">
        <v>1143</v>
      </c>
      <c r="J432" t="s">
        <v>1150</v>
      </c>
    </row>
    <row r="433" spans="1:10" ht="13" x14ac:dyDescent="0.15">
      <c r="A433" s="1">
        <v>432</v>
      </c>
      <c r="B433" s="1">
        <v>13</v>
      </c>
      <c r="C433" s="1" t="s">
        <v>828</v>
      </c>
      <c r="D433" s="1" t="s">
        <v>20</v>
      </c>
      <c r="E433" s="1" t="s">
        <v>903</v>
      </c>
      <c r="F433">
        <v>5</v>
      </c>
      <c r="G433" t="s">
        <v>1249</v>
      </c>
      <c r="H433" t="s">
        <v>1250</v>
      </c>
      <c r="I433" t="s">
        <v>1142</v>
      </c>
      <c r="J433" t="s">
        <v>1150</v>
      </c>
    </row>
    <row r="434" spans="1:10" ht="13" x14ac:dyDescent="0.15">
      <c r="A434" s="1">
        <v>433</v>
      </c>
      <c r="B434" s="1">
        <v>13</v>
      </c>
      <c r="C434" s="1" t="s">
        <v>842</v>
      </c>
      <c r="D434" s="1" t="s">
        <v>58</v>
      </c>
      <c r="E434" s="1" t="s">
        <v>915</v>
      </c>
      <c r="F434">
        <v>12</v>
      </c>
      <c r="G434" t="s">
        <v>1247</v>
      </c>
      <c r="H434" t="s">
        <v>1248</v>
      </c>
      <c r="I434" t="s">
        <v>1142</v>
      </c>
      <c r="J434" t="s">
        <v>1150</v>
      </c>
    </row>
    <row r="435" spans="1:10" ht="13" x14ac:dyDescent="0.15">
      <c r="A435" s="1">
        <v>434</v>
      </c>
      <c r="B435" s="1">
        <v>13</v>
      </c>
      <c r="C435" s="1" t="s">
        <v>804</v>
      </c>
      <c r="D435" s="1" t="s">
        <v>535</v>
      </c>
      <c r="E435" s="1" t="s">
        <v>927</v>
      </c>
      <c r="F435" t="s">
        <v>1150</v>
      </c>
      <c r="G435" t="s">
        <v>1247</v>
      </c>
      <c r="H435" t="s">
        <v>1248</v>
      </c>
      <c r="I435" t="s">
        <v>1150</v>
      </c>
      <c r="J435" t="s">
        <v>1150</v>
      </c>
    </row>
    <row r="436" spans="1:10" ht="13" x14ac:dyDescent="0.15">
      <c r="A436" s="1">
        <v>435</v>
      </c>
      <c r="B436" s="1">
        <v>13</v>
      </c>
      <c r="C436" s="1" t="s">
        <v>859</v>
      </c>
      <c r="D436" s="1" t="s">
        <v>132</v>
      </c>
      <c r="E436" s="1" t="s">
        <v>873</v>
      </c>
      <c r="F436">
        <v>5</v>
      </c>
      <c r="G436" t="s">
        <v>1249</v>
      </c>
      <c r="H436" t="s">
        <v>1250</v>
      </c>
      <c r="I436" t="s">
        <v>1143</v>
      </c>
      <c r="J436" t="s">
        <v>1150</v>
      </c>
    </row>
    <row r="437" spans="1:10" ht="13" x14ac:dyDescent="0.15">
      <c r="A437" s="1">
        <v>436</v>
      </c>
      <c r="B437" s="1">
        <v>13</v>
      </c>
      <c r="C437" s="1" t="s">
        <v>908</v>
      </c>
      <c r="D437" s="1" t="s">
        <v>58</v>
      </c>
      <c r="E437" s="1" t="s">
        <v>899</v>
      </c>
      <c r="F437">
        <v>12</v>
      </c>
      <c r="G437" t="s">
        <v>1249</v>
      </c>
      <c r="H437" t="s">
        <v>1250</v>
      </c>
      <c r="I437" t="s">
        <v>1142</v>
      </c>
      <c r="J437" t="s">
        <v>1150</v>
      </c>
    </row>
    <row r="438" spans="1:10" ht="13" x14ac:dyDescent="0.15">
      <c r="A438" s="1">
        <v>437</v>
      </c>
      <c r="B438" s="1">
        <v>13</v>
      </c>
      <c r="C438" s="1" t="s">
        <v>949</v>
      </c>
      <c r="D438" s="1" t="s">
        <v>38</v>
      </c>
      <c r="E438" s="1" t="s">
        <v>905</v>
      </c>
      <c r="F438">
        <v>14</v>
      </c>
      <c r="G438" t="s">
        <v>1249</v>
      </c>
      <c r="H438" t="s">
        <v>1250</v>
      </c>
      <c r="I438" t="s">
        <v>1149</v>
      </c>
      <c r="J438" t="s">
        <v>1150</v>
      </c>
    </row>
    <row r="439" spans="1:10" ht="13" x14ac:dyDescent="0.15">
      <c r="A439" s="1">
        <v>438</v>
      </c>
      <c r="B439" s="1">
        <v>13</v>
      </c>
      <c r="C439" s="1" t="s">
        <v>855</v>
      </c>
      <c r="D439" s="1" t="s">
        <v>535</v>
      </c>
      <c r="E439" s="1" t="s">
        <v>937</v>
      </c>
      <c r="F439" t="s">
        <v>1150</v>
      </c>
      <c r="G439" t="s">
        <v>1249</v>
      </c>
      <c r="H439" t="s">
        <v>1250</v>
      </c>
      <c r="I439" t="s">
        <v>1150</v>
      </c>
      <c r="J439" t="s">
        <v>1150</v>
      </c>
    </row>
    <row r="440" spans="1:10" ht="13" x14ac:dyDescent="0.15">
      <c r="A440" s="1">
        <v>439</v>
      </c>
      <c r="B440" s="1">
        <v>13</v>
      </c>
      <c r="C440" s="1" t="s">
        <v>918</v>
      </c>
      <c r="D440" s="1" t="s">
        <v>70</v>
      </c>
      <c r="E440" s="1" t="s">
        <v>883</v>
      </c>
      <c r="F440">
        <v>5</v>
      </c>
      <c r="G440" t="s">
        <v>1249</v>
      </c>
      <c r="H440" t="s">
        <v>1250</v>
      </c>
      <c r="I440" t="s">
        <v>1144</v>
      </c>
      <c r="J440" t="s">
        <v>1150</v>
      </c>
    </row>
    <row r="441" spans="1:10" ht="13" x14ac:dyDescent="0.15">
      <c r="A441" s="1">
        <v>440</v>
      </c>
      <c r="B441" s="1">
        <v>13</v>
      </c>
      <c r="C441" s="1" t="s">
        <v>808</v>
      </c>
      <c r="D441" s="1" t="s">
        <v>535</v>
      </c>
      <c r="E441" s="1" t="s">
        <v>950</v>
      </c>
      <c r="F441" t="s">
        <v>1150</v>
      </c>
      <c r="G441" t="s">
        <v>1247</v>
      </c>
      <c r="H441" t="s">
        <v>1248</v>
      </c>
      <c r="I441" t="s">
        <v>1150</v>
      </c>
      <c r="J441" t="s">
        <v>1150</v>
      </c>
    </row>
    <row r="442" spans="1:10" ht="13" x14ac:dyDescent="0.15">
      <c r="A442" s="1">
        <v>441</v>
      </c>
      <c r="B442" s="1">
        <v>13</v>
      </c>
      <c r="C442" s="1" t="s">
        <v>1166</v>
      </c>
      <c r="D442" s="1" t="s">
        <v>49</v>
      </c>
      <c r="E442" s="1" t="s">
        <v>942</v>
      </c>
      <c r="F442">
        <v>14</v>
      </c>
      <c r="G442" t="s">
        <v>1249</v>
      </c>
      <c r="H442" t="s">
        <v>1250</v>
      </c>
      <c r="I442" t="s">
        <v>1143</v>
      </c>
      <c r="J442" t="s">
        <v>1150</v>
      </c>
    </row>
    <row r="443" spans="1:10" ht="13" x14ac:dyDescent="0.15">
      <c r="A443" s="1">
        <v>442</v>
      </c>
      <c r="B443" s="1">
        <v>13</v>
      </c>
      <c r="C443" s="1" t="s">
        <v>838</v>
      </c>
      <c r="D443" s="1" t="s">
        <v>46</v>
      </c>
      <c r="E443" s="1" t="s">
        <v>925</v>
      </c>
      <c r="F443">
        <v>8</v>
      </c>
      <c r="G443" t="s">
        <v>1249</v>
      </c>
      <c r="H443" t="s">
        <v>1250</v>
      </c>
      <c r="I443" t="s">
        <v>1144</v>
      </c>
      <c r="J443" t="s">
        <v>1150</v>
      </c>
    </row>
    <row r="444" spans="1:10" ht="13" x14ac:dyDescent="0.15">
      <c r="A444" s="1">
        <v>443</v>
      </c>
      <c r="B444" s="1">
        <v>13</v>
      </c>
      <c r="C444" s="1" t="s">
        <v>924</v>
      </c>
      <c r="D444" s="1" t="s">
        <v>135</v>
      </c>
      <c r="E444" s="1" t="s">
        <v>931</v>
      </c>
      <c r="F444">
        <v>14</v>
      </c>
      <c r="G444" t="s">
        <v>1249</v>
      </c>
      <c r="H444" t="s">
        <v>1250</v>
      </c>
      <c r="I444" t="s">
        <v>1143</v>
      </c>
      <c r="J444" t="s">
        <v>1150</v>
      </c>
    </row>
    <row r="445" spans="1:10" ht="13" x14ac:dyDescent="0.15">
      <c r="A445" s="1">
        <v>444</v>
      </c>
      <c r="B445" s="1">
        <v>13</v>
      </c>
      <c r="C445" s="1" t="s">
        <v>1039</v>
      </c>
      <c r="D445" s="1" t="s">
        <v>29</v>
      </c>
      <c r="E445" s="1" t="s">
        <v>901</v>
      </c>
      <c r="F445">
        <v>8</v>
      </c>
      <c r="G445" t="s">
        <v>1249</v>
      </c>
      <c r="H445" t="s">
        <v>1250</v>
      </c>
      <c r="I445" t="s">
        <v>1142</v>
      </c>
      <c r="J445" t="s">
        <v>1150</v>
      </c>
    </row>
    <row r="446" spans="1:10" ht="13" x14ac:dyDescent="0.15">
      <c r="A446" s="1">
        <v>445</v>
      </c>
      <c r="B446" s="1">
        <v>13</v>
      </c>
      <c r="C446" s="1" t="s">
        <v>840</v>
      </c>
      <c r="D446" s="1" t="s">
        <v>535</v>
      </c>
      <c r="E446" s="1" t="s">
        <v>944</v>
      </c>
      <c r="F446" t="s">
        <v>1150</v>
      </c>
      <c r="G446" t="s">
        <v>1247</v>
      </c>
      <c r="H446" t="s">
        <v>1248</v>
      </c>
      <c r="I446" t="s">
        <v>1150</v>
      </c>
      <c r="J446" t="s">
        <v>1150</v>
      </c>
    </row>
    <row r="447" spans="1:10" ht="13" x14ac:dyDescent="0.15">
      <c r="A447" s="1">
        <v>446</v>
      </c>
      <c r="B447" s="1">
        <v>13</v>
      </c>
      <c r="C447" s="1" t="s">
        <v>857</v>
      </c>
      <c r="D447" s="1" t="s">
        <v>194</v>
      </c>
      <c r="E447" s="1" t="s">
        <v>970</v>
      </c>
      <c r="F447">
        <v>9</v>
      </c>
      <c r="G447" t="s">
        <v>1249</v>
      </c>
      <c r="H447" t="s">
        <v>1250</v>
      </c>
      <c r="I447" t="s">
        <v>1144</v>
      </c>
      <c r="J447" t="s">
        <v>1150</v>
      </c>
    </row>
    <row r="448" spans="1:10" ht="13" x14ac:dyDescent="0.15">
      <c r="A448" s="1">
        <v>447</v>
      </c>
      <c r="B448" s="1">
        <v>13</v>
      </c>
      <c r="C448" s="1" t="s">
        <v>1128</v>
      </c>
      <c r="D448" s="1" t="s">
        <v>67</v>
      </c>
      <c r="E448" s="1" t="s">
        <v>1152</v>
      </c>
      <c r="F448">
        <v>11</v>
      </c>
      <c r="G448" t="s">
        <v>1249</v>
      </c>
      <c r="H448" t="s">
        <v>1250</v>
      </c>
      <c r="I448" t="s">
        <v>1145</v>
      </c>
      <c r="J448" t="s">
        <v>1150</v>
      </c>
    </row>
    <row r="449" spans="1:10" ht="13" x14ac:dyDescent="0.15">
      <c r="A449" s="1">
        <v>448</v>
      </c>
      <c r="B449" s="1">
        <v>13</v>
      </c>
      <c r="C449" s="1" t="s">
        <v>926</v>
      </c>
      <c r="D449" s="1" t="s">
        <v>93</v>
      </c>
      <c r="E449" s="1" t="s">
        <v>980</v>
      </c>
      <c r="F449">
        <v>8</v>
      </c>
      <c r="G449" t="s">
        <v>1249</v>
      </c>
      <c r="H449" t="s">
        <v>1250</v>
      </c>
      <c r="I449" t="s">
        <v>1142</v>
      </c>
      <c r="J449" t="s">
        <v>1150</v>
      </c>
    </row>
    <row r="450" spans="1:10" ht="13" x14ac:dyDescent="0.15">
      <c r="A450" s="1">
        <v>449</v>
      </c>
      <c r="B450" s="1">
        <v>13</v>
      </c>
      <c r="C450" s="1" t="s">
        <v>853</v>
      </c>
      <c r="D450" s="1" t="s">
        <v>32</v>
      </c>
      <c r="E450" s="1" t="s">
        <v>993</v>
      </c>
      <c r="F450">
        <v>10</v>
      </c>
      <c r="G450" t="s">
        <v>1249</v>
      </c>
      <c r="H450" t="s">
        <v>1250</v>
      </c>
      <c r="I450" t="s">
        <v>1144</v>
      </c>
      <c r="J450" t="s">
        <v>1150</v>
      </c>
    </row>
    <row r="451" spans="1:10" ht="13" x14ac:dyDescent="0.15">
      <c r="A451" s="1">
        <v>450</v>
      </c>
      <c r="B451" s="1">
        <v>13</v>
      </c>
      <c r="C451" s="1" t="s">
        <v>910</v>
      </c>
      <c r="D451" s="1" t="s">
        <v>151</v>
      </c>
      <c r="E451" s="1" t="s">
        <v>939</v>
      </c>
      <c r="F451">
        <v>10</v>
      </c>
      <c r="G451" t="s">
        <v>1249</v>
      </c>
      <c r="H451" t="s">
        <v>1250</v>
      </c>
      <c r="I451" t="s">
        <v>1144</v>
      </c>
      <c r="J451" t="s">
        <v>1150</v>
      </c>
    </row>
    <row r="452" spans="1:10" ht="13" x14ac:dyDescent="0.15">
      <c r="A452" s="1">
        <v>451</v>
      </c>
      <c r="B452" s="1">
        <v>13</v>
      </c>
      <c r="C452" s="1" t="s">
        <v>1156</v>
      </c>
      <c r="D452" s="1" t="s">
        <v>20</v>
      </c>
      <c r="E452" s="1" t="s">
        <v>1005</v>
      </c>
      <c r="F452">
        <v>5</v>
      </c>
      <c r="G452" t="s">
        <v>1249</v>
      </c>
      <c r="H452" t="s">
        <v>1250</v>
      </c>
      <c r="I452" t="s">
        <v>1142</v>
      </c>
      <c r="J452" t="s">
        <v>1150</v>
      </c>
    </row>
    <row r="453" spans="1:10" ht="13" x14ac:dyDescent="0.15">
      <c r="A453" s="1">
        <v>452</v>
      </c>
      <c r="B453" s="1">
        <v>13</v>
      </c>
      <c r="C453" s="1" t="s">
        <v>870</v>
      </c>
      <c r="D453" s="1" t="s">
        <v>58</v>
      </c>
      <c r="E453" s="1" t="s">
        <v>909</v>
      </c>
      <c r="F453">
        <v>12</v>
      </c>
      <c r="G453" t="s">
        <v>1249</v>
      </c>
      <c r="H453" t="s">
        <v>1250</v>
      </c>
      <c r="I453" t="s">
        <v>1142</v>
      </c>
      <c r="J453" t="s">
        <v>1150</v>
      </c>
    </row>
    <row r="454" spans="1:10" ht="13" x14ac:dyDescent="0.15">
      <c r="A454" s="1">
        <v>453</v>
      </c>
      <c r="B454" s="1">
        <v>13</v>
      </c>
      <c r="C454" s="1" t="s">
        <v>832</v>
      </c>
      <c r="D454" s="1" t="s">
        <v>535</v>
      </c>
      <c r="E454" s="1" t="s">
        <v>1161</v>
      </c>
      <c r="F454" t="s">
        <v>1150</v>
      </c>
      <c r="G454" t="s">
        <v>1247</v>
      </c>
      <c r="H454" t="s">
        <v>1248</v>
      </c>
      <c r="I454" t="s">
        <v>1150</v>
      </c>
      <c r="J454" t="s">
        <v>1150</v>
      </c>
    </row>
    <row r="455" spans="1:10" ht="13" x14ac:dyDescent="0.15">
      <c r="A455" s="1">
        <v>454</v>
      </c>
      <c r="B455" s="1">
        <v>13</v>
      </c>
      <c r="C455" s="1" t="s">
        <v>882</v>
      </c>
      <c r="D455" s="1" t="s">
        <v>103</v>
      </c>
      <c r="E455" s="1" t="s">
        <v>907</v>
      </c>
      <c r="F455">
        <v>12</v>
      </c>
      <c r="G455" t="s">
        <v>1249</v>
      </c>
      <c r="H455" t="s">
        <v>1250</v>
      </c>
      <c r="I455" t="s">
        <v>1144</v>
      </c>
      <c r="J455" t="s">
        <v>1150</v>
      </c>
    </row>
    <row r="456" spans="1:10" ht="13" x14ac:dyDescent="0.15">
      <c r="A456" s="1">
        <v>455</v>
      </c>
      <c r="B456" s="1">
        <v>13</v>
      </c>
      <c r="C456" s="1" t="s">
        <v>956</v>
      </c>
      <c r="D456" s="1" t="s">
        <v>140</v>
      </c>
      <c r="E456" s="1" t="s">
        <v>941</v>
      </c>
      <c r="F456">
        <v>12</v>
      </c>
      <c r="G456" t="s">
        <v>1249</v>
      </c>
      <c r="H456" t="s">
        <v>1250</v>
      </c>
      <c r="I456" t="s">
        <v>1142</v>
      </c>
      <c r="J456" t="s">
        <v>1150</v>
      </c>
    </row>
    <row r="457" spans="1:10" ht="13" x14ac:dyDescent="0.15">
      <c r="A457" s="1">
        <v>456</v>
      </c>
      <c r="B457" s="1">
        <v>13</v>
      </c>
      <c r="C457" s="1" t="s">
        <v>1049</v>
      </c>
      <c r="D457" s="1" t="s">
        <v>55</v>
      </c>
      <c r="E457" s="1" t="s">
        <v>946</v>
      </c>
      <c r="F457">
        <v>7</v>
      </c>
      <c r="G457" t="s">
        <v>1249</v>
      </c>
      <c r="H457" t="s">
        <v>1250</v>
      </c>
      <c r="I457" t="s">
        <v>1142</v>
      </c>
      <c r="J457" t="s">
        <v>1150</v>
      </c>
    </row>
    <row r="458" spans="1:10" ht="13" x14ac:dyDescent="0.15">
      <c r="A458" s="1">
        <v>457</v>
      </c>
      <c r="B458" s="1">
        <v>13</v>
      </c>
      <c r="C458" s="1" t="s">
        <v>964</v>
      </c>
      <c r="D458" s="1" t="s">
        <v>79</v>
      </c>
      <c r="E458" s="1" t="s">
        <v>952</v>
      </c>
      <c r="F458">
        <v>8</v>
      </c>
      <c r="G458" t="s">
        <v>1249</v>
      </c>
      <c r="H458" t="s">
        <v>1250</v>
      </c>
      <c r="I458" t="s">
        <v>1142</v>
      </c>
      <c r="J458" t="s">
        <v>1150</v>
      </c>
    </row>
    <row r="459" spans="1:10" ht="13" x14ac:dyDescent="0.15">
      <c r="A459" s="1">
        <v>458</v>
      </c>
      <c r="B459" s="1">
        <v>13</v>
      </c>
      <c r="C459" s="1" t="s">
        <v>1006</v>
      </c>
      <c r="D459" s="1" t="s">
        <v>151</v>
      </c>
      <c r="E459" s="1" t="s">
        <v>965</v>
      </c>
      <c r="F459">
        <v>10</v>
      </c>
      <c r="G459" t="s">
        <v>1249</v>
      </c>
      <c r="H459" t="s">
        <v>1250</v>
      </c>
      <c r="I459" t="s">
        <v>1144</v>
      </c>
      <c r="J459" t="s">
        <v>1150</v>
      </c>
    </row>
    <row r="460" spans="1:10" ht="13" x14ac:dyDescent="0.15">
      <c r="A460" s="1">
        <v>459</v>
      </c>
      <c r="B460" s="1">
        <v>13</v>
      </c>
      <c r="C460" s="1" t="s">
        <v>1055</v>
      </c>
      <c r="D460" s="1" t="s">
        <v>38</v>
      </c>
      <c r="E460" s="1" t="s">
        <v>953</v>
      </c>
      <c r="F460">
        <v>14</v>
      </c>
      <c r="G460" t="s">
        <v>1249</v>
      </c>
      <c r="H460" t="s">
        <v>1250</v>
      </c>
      <c r="I460" t="s">
        <v>1144</v>
      </c>
      <c r="J460" t="s">
        <v>1150</v>
      </c>
    </row>
    <row r="461" spans="1:10" ht="13" x14ac:dyDescent="0.15">
      <c r="A461" s="1">
        <v>460</v>
      </c>
      <c r="B461" s="1">
        <v>13</v>
      </c>
      <c r="C461" s="1" t="s">
        <v>890</v>
      </c>
      <c r="D461" s="1" t="s">
        <v>55</v>
      </c>
      <c r="E461" s="1" t="s">
        <v>966</v>
      </c>
      <c r="F461">
        <v>7</v>
      </c>
      <c r="G461" t="s">
        <v>1249</v>
      </c>
      <c r="H461" t="s">
        <v>1250</v>
      </c>
      <c r="I461" t="s">
        <v>1142</v>
      </c>
      <c r="J461" t="s">
        <v>1150</v>
      </c>
    </row>
    <row r="462" spans="1:10" ht="13" x14ac:dyDescent="0.15">
      <c r="A462" s="1">
        <v>461</v>
      </c>
      <c r="B462" s="1">
        <v>13</v>
      </c>
      <c r="C462" s="1" t="s">
        <v>900</v>
      </c>
      <c r="D462" s="1" t="s">
        <v>17</v>
      </c>
      <c r="E462" s="1" t="s">
        <v>957</v>
      </c>
      <c r="F462">
        <v>10</v>
      </c>
      <c r="G462" t="s">
        <v>1249</v>
      </c>
      <c r="H462" t="s">
        <v>1250</v>
      </c>
      <c r="I462" t="s">
        <v>1144</v>
      </c>
      <c r="J462" t="s">
        <v>1150</v>
      </c>
    </row>
    <row r="463" spans="1:10" ht="13" x14ac:dyDescent="0.15">
      <c r="A463" s="1">
        <v>462</v>
      </c>
      <c r="B463" s="1">
        <v>13</v>
      </c>
      <c r="C463" s="1" t="s">
        <v>991</v>
      </c>
      <c r="D463" s="1" t="s">
        <v>73</v>
      </c>
      <c r="E463" s="1" t="s">
        <v>959</v>
      </c>
      <c r="F463">
        <v>9</v>
      </c>
      <c r="G463" t="s">
        <v>1249</v>
      </c>
      <c r="H463" t="s">
        <v>1250</v>
      </c>
      <c r="I463" t="s">
        <v>1142</v>
      </c>
      <c r="J463" t="s">
        <v>1150</v>
      </c>
    </row>
    <row r="464" spans="1:10" ht="13" x14ac:dyDescent="0.15">
      <c r="A464" s="1">
        <v>463</v>
      </c>
      <c r="B464" s="1">
        <v>13</v>
      </c>
      <c r="C464" s="1" t="s">
        <v>1181</v>
      </c>
      <c r="D464" s="1" t="s">
        <v>49</v>
      </c>
      <c r="E464" s="1" t="s">
        <v>1009</v>
      </c>
      <c r="F464">
        <v>14</v>
      </c>
      <c r="G464" t="s">
        <v>1249</v>
      </c>
      <c r="H464" t="s">
        <v>1250</v>
      </c>
      <c r="I464" t="s">
        <v>1143</v>
      </c>
      <c r="J464" t="s">
        <v>1150</v>
      </c>
    </row>
    <row r="465" spans="1:10" ht="13" x14ac:dyDescent="0.15">
      <c r="A465" s="1">
        <v>464</v>
      </c>
      <c r="B465" s="1">
        <v>13</v>
      </c>
      <c r="C465" s="1" t="s">
        <v>1132</v>
      </c>
      <c r="D465" s="1" t="s">
        <v>98</v>
      </c>
      <c r="E465" s="1" t="s">
        <v>1163</v>
      </c>
      <c r="F465">
        <v>9</v>
      </c>
      <c r="G465" t="s">
        <v>1249</v>
      </c>
      <c r="H465" t="s">
        <v>1250</v>
      </c>
      <c r="I465" t="s">
        <v>1144</v>
      </c>
      <c r="J465" t="s">
        <v>1150</v>
      </c>
    </row>
    <row r="466" spans="1:10" ht="13" x14ac:dyDescent="0.15">
      <c r="A466" s="1">
        <v>465</v>
      </c>
      <c r="B466" s="1">
        <v>14</v>
      </c>
      <c r="C466" s="1" t="s">
        <v>1010</v>
      </c>
      <c r="D466" s="1" t="s">
        <v>98</v>
      </c>
      <c r="E466" s="1" t="s">
        <v>1011</v>
      </c>
      <c r="F466">
        <v>9</v>
      </c>
      <c r="G466" t="s">
        <v>1249</v>
      </c>
      <c r="H466" t="s">
        <v>1250</v>
      </c>
      <c r="I466" t="s">
        <v>1143</v>
      </c>
      <c r="J466" t="s">
        <v>1150</v>
      </c>
    </row>
    <row r="467" spans="1:10" ht="13" x14ac:dyDescent="0.15">
      <c r="A467" s="1">
        <v>466</v>
      </c>
      <c r="B467" s="1">
        <v>14</v>
      </c>
      <c r="C467" s="1" t="s">
        <v>916</v>
      </c>
      <c r="D467" s="1" t="s">
        <v>58</v>
      </c>
      <c r="E467" s="1" t="s">
        <v>917</v>
      </c>
      <c r="F467">
        <v>12</v>
      </c>
      <c r="G467" t="s">
        <v>1249</v>
      </c>
      <c r="H467" t="s">
        <v>1250</v>
      </c>
      <c r="I467" t="s">
        <v>1145</v>
      </c>
      <c r="J467" t="s">
        <v>1150</v>
      </c>
    </row>
    <row r="468" spans="1:10" ht="13" x14ac:dyDescent="0.15">
      <c r="A468" s="1">
        <v>467</v>
      </c>
      <c r="B468" s="1">
        <v>14</v>
      </c>
      <c r="C468" s="1" t="s">
        <v>1018</v>
      </c>
      <c r="D468" s="1" t="s">
        <v>32</v>
      </c>
      <c r="E468" s="1" t="s">
        <v>976</v>
      </c>
      <c r="F468">
        <v>10</v>
      </c>
      <c r="G468" t="s">
        <v>1249</v>
      </c>
      <c r="H468" t="s">
        <v>1250</v>
      </c>
      <c r="I468" t="s">
        <v>1144</v>
      </c>
      <c r="J468" t="s">
        <v>1150</v>
      </c>
    </row>
    <row r="469" spans="1:10" ht="13" x14ac:dyDescent="0.15">
      <c r="A469" s="1">
        <v>468</v>
      </c>
      <c r="B469" s="1">
        <v>14</v>
      </c>
      <c r="C469" s="1" t="s">
        <v>920</v>
      </c>
      <c r="D469" s="1" t="s">
        <v>17</v>
      </c>
      <c r="E469" s="1" t="s">
        <v>919</v>
      </c>
      <c r="F469">
        <v>10</v>
      </c>
      <c r="G469" t="s">
        <v>1249</v>
      </c>
      <c r="H469" t="s">
        <v>1250</v>
      </c>
      <c r="I469" t="s">
        <v>1144</v>
      </c>
      <c r="J469" t="s">
        <v>1150</v>
      </c>
    </row>
    <row r="470" spans="1:10" ht="13" x14ac:dyDescent="0.15">
      <c r="A470" s="1">
        <v>469</v>
      </c>
      <c r="B470" s="1">
        <v>14</v>
      </c>
      <c r="C470" s="1" t="s">
        <v>1172</v>
      </c>
      <c r="D470" s="1" t="s">
        <v>76</v>
      </c>
      <c r="E470" s="1" t="s">
        <v>921</v>
      </c>
      <c r="F470">
        <v>12</v>
      </c>
      <c r="G470" t="s">
        <v>1249</v>
      </c>
      <c r="H470" t="s">
        <v>1250</v>
      </c>
      <c r="I470" t="s">
        <v>1142</v>
      </c>
      <c r="J470" t="s">
        <v>1150</v>
      </c>
    </row>
    <row r="471" spans="1:10" ht="13" x14ac:dyDescent="0.15">
      <c r="A471" s="1">
        <v>470</v>
      </c>
      <c r="B471" s="1">
        <v>14</v>
      </c>
      <c r="C471" s="1" t="s">
        <v>1162</v>
      </c>
      <c r="D471" s="1" t="s">
        <v>58</v>
      </c>
      <c r="E471" s="1" t="s">
        <v>982</v>
      </c>
      <c r="F471">
        <v>12</v>
      </c>
      <c r="G471" t="s">
        <v>1249</v>
      </c>
      <c r="H471" t="s">
        <v>1250</v>
      </c>
      <c r="I471" t="s">
        <v>1143</v>
      </c>
      <c r="J471" t="s">
        <v>1150</v>
      </c>
    </row>
    <row r="472" spans="1:10" ht="13" x14ac:dyDescent="0.15">
      <c r="A472" s="1">
        <v>471</v>
      </c>
      <c r="B472" s="1">
        <v>14</v>
      </c>
      <c r="C472" s="1" t="s">
        <v>930</v>
      </c>
      <c r="D472" s="1" t="s">
        <v>535</v>
      </c>
      <c r="E472" s="1" t="s">
        <v>990</v>
      </c>
      <c r="F472" t="s">
        <v>1150</v>
      </c>
      <c r="G472" t="s">
        <v>1247</v>
      </c>
      <c r="H472" t="s">
        <v>1248</v>
      </c>
      <c r="I472" t="s">
        <v>1150</v>
      </c>
      <c r="J472" t="s">
        <v>1150</v>
      </c>
    </row>
    <row r="473" spans="1:10" ht="13" x14ac:dyDescent="0.15">
      <c r="A473" s="1">
        <v>472</v>
      </c>
      <c r="B473" s="1">
        <v>14</v>
      </c>
      <c r="C473" s="1" t="s">
        <v>866</v>
      </c>
      <c r="D473" s="1" t="s">
        <v>52</v>
      </c>
      <c r="E473" s="1" t="s">
        <v>948</v>
      </c>
      <c r="F473">
        <v>8</v>
      </c>
      <c r="G473" t="s">
        <v>1249</v>
      </c>
      <c r="H473" t="s">
        <v>1250</v>
      </c>
      <c r="I473" t="s">
        <v>1142</v>
      </c>
      <c r="J473" t="s">
        <v>1150</v>
      </c>
    </row>
    <row r="474" spans="1:10" ht="13" x14ac:dyDescent="0.15">
      <c r="A474" s="1">
        <v>473</v>
      </c>
      <c r="B474" s="1">
        <v>14</v>
      </c>
      <c r="C474" s="1" t="s">
        <v>958</v>
      </c>
      <c r="D474" s="1" t="s">
        <v>46</v>
      </c>
      <c r="E474" s="1" t="s">
        <v>963</v>
      </c>
      <c r="F474">
        <v>8</v>
      </c>
      <c r="G474" t="s">
        <v>1249</v>
      </c>
      <c r="H474" t="s">
        <v>1250</v>
      </c>
      <c r="I474" t="s">
        <v>1142</v>
      </c>
      <c r="J474" t="s">
        <v>1150</v>
      </c>
    </row>
    <row r="475" spans="1:10" ht="13" x14ac:dyDescent="0.15">
      <c r="A475" s="1">
        <v>474</v>
      </c>
      <c r="B475" s="1">
        <v>14</v>
      </c>
      <c r="C475" s="1" t="s">
        <v>1252</v>
      </c>
      <c r="D475" s="1" t="s">
        <v>535</v>
      </c>
      <c r="E475" s="1" t="s">
        <v>995</v>
      </c>
      <c r="F475" t="s">
        <v>1150</v>
      </c>
      <c r="G475" t="s">
        <v>1249</v>
      </c>
      <c r="H475" t="s">
        <v>1250</v>
      </c>
      <c r="I475" t="s">
        <v>1150</v>
      </c>
      <c r="J475" t="s">
        <v>1150</v>
      </c>
    </row>
    <row r="476" spans="1:10" ht="13" x14ac:dyDescent="0.15">
      <c r="A476" s="1">
        <v>475</v>
      </c>
      <c r="B476" s="1">
        <v>14</v>
      </c>
      <c r="C476" s="1" t="s">
        <v>1071</v>
      </c>
      <c r="D476" s="1" t="s">
        <v>52</v>
      </c>
      <c r="E476" s="1" t="s">
        <v>1007</v>
      </c>
      <c r="F476">
        <v>8</v>
      </c>
      <c r="G476" t="s">
        <v>1249</v>
      </c>
      <c r="H476" t="s">
        <v>1250</v>
      </c>
      <c r="I476" t="s">
        <v>1144</v>
      </c>
      <c r="J476" t="s">
        <v>1150</v>
      </c>
    </row>
    <row r="477" spans="1:10" ht="13" x14ac:dyDescent="0.15">
      <c r="A477" s="1">
        <v>476</v>
      </c>
      <c r="B477" s="1">
        <v>14</v>
      </c>
      <c r="C477" s="1" t="s">
        <v>981</v>
      </c>
      <c r="D477" s="1" t="s">
        <v>122</v>
      </c>
      <c r="E477" s="1" t="s">
        <v>1015</v>
      </c>
      <c r="F477">
        <v>11</v>
      </c>
      <c r="G477" t="s">
        <v>1249</v>
      </c>
      <c r="H477" t="s">
        <v>1250</v>
      </c>
      <c r="I477" t="s">
        <v>1143</v>
      </c>
      <c r="J477" t="s">
        <v>1150</v>
      </c>
    </row>
    <row r="478" spans="1:10" ht="13" x14ac:dyDescent="0.15">
      <c r="A478" s="1">
        <v>477</v>
      </c>
      <c r="B478" s="1">
        <v>14</v>
      </c>
      <c r="C478" s="1" t="s">
        <v>1000</v>
      </c>
      <c r="D478" s="1" t="s">
        <v>135</v>
      </c>
      <c r="E478" s="1" t="s">
        <v>955</v>
      </c>
      <c r="F478">
        <v>14</v>
      </c>
      <c r="G478" t="s">
        <v>1249</v>
      </c>
      <c r="H478" t="s">
        <v>1250</v>
      </c>
      <c r="I478" t="s">
        <v>1142</v>
      </c>
      <c r="J478" t="s">
        <v>1150</v>
      </c>
    </row>
    <row r="479" spans="1:10" ht="13" x14ac:dyDescent="0.15">
      <c r="A479" s="1">
        <v>478</v>
      </c>
      <c r="B479" s="1">
        <v>14</v>
      </c>
      <c r="C479" s="1" t="s">
        <v>945</v>
      </c>
      <c r="D479" s="1" t="s">
        <v>535</v>
      </c>
      <c r="E479" s="1" t="s">
        <v>1019</v>
      </c>
      <c r="F479" t="s">
        <v>1150</v>
      </c>
      <c r="G479" t="s">
        <v>1249</v>
      </c>
      <c r="H479" t="s">
        <v>1250</v>
      </c>
      <c r="I479" t="s">
        <v>1150</v>
      </c>
      <c r="J479" t="s">
        <v>1150</v>
      </c>
    </row>
    <row r="480" spans="1:10" ht="13" x14ac:dyDescent="0.15">
      <c r="A480" s="1">
        <v>479</v>
      </c>
      <c r="B480" s="1">
        <v>14</v>
      </c>
      <c r="C480" s="1" t="s">
        <v>1026</v>
      </c>
      <c r="D480" s="1" t="s">
        <v>135</v>
      </c>
      <c r="E480" s="1" t="s">
        <v>1017</v>
      </c>
      <c r="F480">
        <v>14</v>
      </c>
      <c r="G480" t="s">
        <v>1249</v>
      </c>
      <c r="H480" t="s">
        <v>1250</v>
      </c>
      <c r="I480" t="s">
        <v>1143</v>
      </c>
      <c r="J480" t="s">
        <v>1150</v>
      </c>
    </row>
    <row r="481" spans="1:10" ht="13" x14ac:dyDescent="0.15">
      <c r="A481" s="1">
        <v>480</v>
      </c>
      <c r="B481" s="1">
        <v>14</v>
      </c>
      <c r="C481" s="1" t="s">
        <v>914</v>
      </c>
      <c r="D481" s="1" t="s">
        <v>23</v>
      </c>
      <c r="E481" s="1" t="s">
        <v>1027</v>
      </c>
      <c r="F481">
        <v>9</v>
      </c>
      <c r="G481" t="s">
        <v>1249</v>
      </c>
      <c r="H481" t="s">
        <v>1250</v>
      </c>
      <c r="I481" t="s">
        <v>1142</v>
      </c>
      <c r="J481" t="s">
        <v>1150</v>
      </c>
    </row>
    <row r="482" spans="1:10" ht="13" x14ac:dyDescent="0.15">
      <c r="A482" s="1">
        <v>481</v>
      </c>
      <c r="B482" s="1">
        <v>14</v>
      </c>
      <c r="C482" s="1" t="s">
        <v>1057</v>
      </c>
      <c r="D482" s="1" t="s">
        <v>29</v>
      </c>
      <c r="E482" s="1" t="s">
        <v>1023</v>
      </c>
      <c r="F482">
        <v>8</v>
      </c>
      <c r="G482" t="s">
        <v>1249</v>
      </c>
      <c r="H482" t="s">
        <v>1250</v>
      </c>
      <c r="I482" t="s">
        <v>1144</v>
      </c>
      <c r="J482" t="s">
        <v>1150</v>
      </c>
    </row>
    <row r="483" spans="1:10" ht="13" x14ac:dyDescent="0.15">
      <c r="A483" s="1">
        <v>482</v>
      </c>
      <c r="B483" s="1">
        <v>14</v>
      </c>
      <c r="C483" s="1" t="s">
        <v>1053</v>
      </c>
      <c r="D483" s="1" t="s">
        <v>20</v>
      </c>
      <c r="E483" s="1" t="s">
        <v>972</v>
      </c>
      <c r="F483">
        <v>5</v>
      </c>
      <c r="G483" t="s">
        <v>1249</v>
      </c>
      <c r="H483" t="s">
        <v>1250</v>
      </c>
      <c r="I483" t="s">
        <v>1142</v>
      </c>
      <c r="J483" t="s">
        <v>1150</v>
      </c>
    </row>
    <row r="484" spans="1:10" ht="13" x14ac:dyDescent="0.15">
      <c r="A484" s="1">
        <v>483</v>
      </c>
      <c r="B484" s="1">
        <v>14</v>
      </c>
      <c r="C484" s="1" t="s">
        <v>971</v>
      </c>
      <c r="D484" s="1" t="s">
        <v>103</v>
      </c>
      <c r="E484" s="1" t="s">
        <v>984</v>
      </c>
      <c r="F484">
        <v>12</v>
      </c>
      <c r="G484" t="s">
        <v>1249</v>
      </c>
      <c r="H484" t="s">
        <v>1250</v>
      </c>
      <c r="I484" t="s">
        <v>1142</v>
      </c>
      <c r="J484" t="s">
        <v>1150</v>
      </c>
    </row>
    <row r="485" spans="1:10" ht="13" x14ac:dyDescent="0.15">
      <c r="A485" s="1">
        <v>484</v>
      </c>
      <c r="B485" s="1">
        <v>14</v>
      </c>
      <c r="C485" s="1" t="s">
        <v>1251</v>
      </c>
      <c r="D485" s="1" t="s">
        <v>84</v>
      </c>
      <c r="E485" s="1" t="s">
        <v>1029</v>
      </c>
      <c r="F485">
        <v>7</v>
      </c>
      <c r="G485" t="s">
        <v>1249</v>
      </c>
      <c r="H485" t="s">
        <v>1250</v>
      </c>
      <c r="I485" t="s">
        <v>1142</v>
      </c>
      <c r="J485" t="s">
        <v>1150</v>
      </c>
    </row>
    <row r="486" spans="1:10" ht="13" x14ac:dyDescent="0.15">
      <c r="A486" s="1">
        <v>485</v>
      </c>
      <c r="B486" s="1">
        <v>14</v>
      </c>
      <c r="C486" s="1" t="s">
        <v>1020</v>
      </c>
      <c r="D486" s="1" t="s">
        <v>41</v>
      </c>
      <c r="E486" s="1" t="s">
        <v>988</v>
      </c>
      <c r="F486">
        <v>6</v>
      </c>
      <c r="G486" t="s">
        <v>1249</v>
      </c>
      <c r="H486" t="s">
        <v>1250</v>
      </c>
      <c r="I486" t="s">
        <v>1142</v>
      </c>
      <c r="J486" t="s">
        <v>1150</v>
      </c>
    </row>
    <row r="487" spans="1:10" ht="13" x14ac:dyDescent="0.15">
      <c r="A487" s="1">
        <v>486</v>
      </c>
      <c r="B487" s="1">
        <v>14</v>
      </c>
      <c r="C487" s="1" t="s">
        <v>1047</v>
      </c>
      <c r="D487" s="1" t="s">
        <v>38</v>
      </c>
      <c r="E487" s="1" t="s">
        <v>992</v>
      </c>
      <c r="F487">
        <v>14</v>
      </c>
      <c r="G487" t="s">
        <v>1249</v>
      </c>
      <c r="H487" t="s">
        <v>1250</v>
      </c>
      <c r="I487" t="s">
        <v>1144</v>
      </c>
      <c r="J487" t="s">
        <v>1150</v>
      </c>
    </row>
    <row r="488" spans="1:10" ht="13" x14ac:dyDescent="0.15">
      <c r="A488" s="1">
        <v>487</v>
      </c>
      <c r="B488" s="1">
        <v>14</v>
      </c>
      <c r="C488" s="1" t="s">
        <v>973</v>
      </c>
      <c r="D488" s="1" t="s">
        <v>151</v>
      </c>
      <c r="E488" s="1" t="s">
        <v>961</v>
      </c>
      <c r="F488">
        <v>10</v>
      </c>
      <c r="G488" t="s">
        <v>1249</v>
      </c>
      <c r="H488" t="s">
        <v>1250</v>
      </c>
      <c r="I488" t="s">
        <v>1142</v>
      </c>
      <c r="J488" t="s">
        <v>1150</v>
      </c>
    </row>
    <row r="489" spans="1:10" ht="13" x14ac:dyDescent="0.15">
      <c r="A489" s="1">
        <v>488</v>
      </c>
      <c r="B489" s="1">
        <v>14</v>
      </c>
      <c r="C489" s="1" t="s">
        <v>1138</v>
      </c>
      <c r="D489" s="1" t="s">
        <v>132</v>
      </c>
      <c r="E489" s="1" t="s">
        <v>1031</v>
      </c>
      <c r="F489">
        <v>5</v>
      </c>
      <c r="G489" t="s">
        <v>1249</v>
      </c>
      <c r="H489" t="s">
        <v>1250</v>
      </c>
      <c r="I489" t="s">
        <v>1143</v>
      </c>
      <c r="J489" t="s">
        <v>1150</v>
      </c>
    </row>
    <row r="490" spans="1:10" ht="13" x14ac:dyDescent="0.15">
      <c r="A490" s="1">
        <v>489</v>
      </c>
      <c r="B490" s="1">
        <v>14</v>
      </c>
      <c r="C490" s="1" t="s">
        <v>1045</v>
      </c>
      <c r="D490" s="1" t="s">
        <v>23</v>
      </c>
      <c r="E490" s="1" t="s">
        <v>997</v>
      </c>
      <c r="F490">
        <v>9</v>
      </c>
      <c r="G490" t="s">
        <v>1249</v>
      </c>
      <c r="H490" t="s">
        <v>1250</v>
      </c>
      <c r="I490" t="s">
        <v>1142</v>
      </c>
      <c r="J490" t="s">
        <v>1150</v>
      </c>
    </row>
    <row r="491" spans="1:10" ht="13" x14ac:dyDescent="0.15">
      <c r="A491" s="1">
        <v>490</v>
      </c>
      <c r="B491" s="1">
        <v>14</v>
      </c>
      <c r="C491" s="1" t="s">
        <v>947</v>
      </c>
      <c r="D491" s="1" t="s">
        <v>23</v>
      </c>
      <c r="E491" s="1" t="s">
        <v>968</v>
      </c>
      <c r="F491">
        <v>9</v>
      </c>
      <c r="G491" t="s">
        <v>1249</v>
      </c>
      <c r="H491" t="s">
        <v>1250</v>
      </c>
      <c r="I491" t="s">
        <v>1142</v>
      </c>
      <c r="J491" t="s">
        <v>1150</v>
      </c>
    </row>
    <row r="492" spans="1:10" ht="13" x14ac:dyDescent="0.15">
      <c r="A492" s="1">
        <v>491</v>
      </c>
      <c r="B492" s="1">
        <v>14</v>
      </c>
      <c r="C492" s="1" t="s">
        <v>967</v>
      </c>
      <c r="D492" s="1" t="s">
        <v>49</v>
      </c>
      <c r="E492" s="1" t="s">
        <v>974</v>
      </c>
      <c r="F492">
        <v>14</v>
      </c>
      <c r="G492" t="s">
        <v>1249</v>
      </c>
      <c r="H492" t="s">
        <v>1250</v>
      </c>
      <c r="I492" t="s">
        <v>1143</v>
      </c>
      <c r="J492" t="s">
        <v>1150</v>
      </c>
    </row>
    <row r="493" spans="1:10" ht="13" x14ac:dyDescent="0.15">
      <c r="A493" s="1">
        <v>492</v>
      </c>
      <c r="B493" s="1">
        <v>14</v>
      </c>
      <c r="C493" s="1" t="s">
        <v>1159</v>
      </c>
      <c r="D493" s="1" t="s">
        <v>58</v>
      </c>
      <c r="E493" s="1" t="s">
        <v>978</v>
      </c>
      <c r="F493">
        <v>12</v>
      </c>
      <c r="G493" t="s">
        <v>1249</v>
      </c>
      <c r="H493" t="s">
        <v>1250</v>
      </c>
      <c r="I493" t="s">
        <v>1145</v>
      </c>
      <c r="J493" t="s">
        <v>1150</v>
      </c>
    </row>
    <row r="494" spans="1:10" ht="13" x14ac:dyDescent="0.15">
      <c r="A494" s="1">
        <v>493</v>
      </c>
      <c r="B494" s="1">
        <v>14</v>
      </c>
      <c r="C494" s="1" t="s">
        <v>1002</v>
      </c>
      <c r="D494" s="1" t="s">
        <v>535</v>
      </c>
      <c r="E494" s="1" t="s">
        <v>986</v>
      </c>
      <c r="F494" t="s">
        <v>1150</v>
      </c>
      <c r="G494" t="s">
        <v>1249</v>
      </c>
      <c r="H494" t="s">
        <v>1250</v>
      </c>
      <c r="I494" t="s">
        <v>1150</v>
      </c>
      <c r="J494" t="s">
        <v>1150</v>
      </c>
    </row>
    <row r="495" spans="1:10" ht="13" x14ac:dyDescent="0.15">
      <c r="A495" s="1">
        <v>494</v>
      </c>
      <c r="B495" s="1">
        <v>14</v>
      </c>
      <c r="C495" s="1" t="s">
        <v>906</v>
      </c>
      <c r="D495" s="1" t="s">
        <v>194</v>
      </c>
      <c r="E495" s="1" t="s">
        <v>999</v>
      </c>
      <c r="F495">
        <v>9</v>
      </c>
      <c r="G495" t="s">
        <v>1249</v>
      </c>
      <c r="H495" t="s">
        <v>1250</v>
      </c>
      <c r="I495" t="s">
        <v>1144</v>
      </c>
      <c r="J495" t="s">
        <v>1150</v>
      </c>
    </row>
    <row r="496" spans="1:10" ht="13" x14ac:dyDescent="0.15">
      <c r="A496" s="1">
        <v>495</v>
      </c>
      <c r="B496" s="1">
        <v>14</v>
      </c>
      <c r="C496" s="1" t="s">
        <v>1012</v>
      </c>
      <c r="D496" s="1" t="s">
        <v>79</v>
      </c>
      <c r="E496" s="1" t="s">
        <v>1001</v>
      </c>
      <c r="F496">
        <v>8</v>
      </c>
      <c r="G496" t="s">
        <v>1249</v>
      </c>
      <c r="H496" t="s">
        <v>1250</v>
      </c>
      <c r="I496" t="s">
        <v>1143</v>
      </c>
      <c r="J496" t="s">
        <v>1150</v>
      </c>
    </row>
    <row r="497" spans="1:10" ht="13" x14ac:dyDescent="0.15">
      <c r="A497" s="1">
        <v>496</v>
      </c>
      <c r="B497" s="1">
        <v>14</v>
      </c>
      <c r="C497" s="1" t="s">
        <v>983</v>
      </c>
      <c r="D497" s="1" t="s">
        <v>41</v>
      </c>
      <c r="E497" s="1" t="s">
        <v>1021</v>
      </c>
      <c r="F497">
        <v>6</v>
      </c>
      <c r="G497" t="s">
        <v>1249</v>
      </c>
      <c r="H497" t="s">
        <v>1250</v>
      </c>
      <c r="I497" t="s">
        <v>1142</v>
      </c>
      <c r="J497" t="s">
        <v>1150</v>
      </c>
    </row>
    <row r="498" spans="1:10" ht="13" x14ac:dyDescent="0.15">
      <c r="A498" s="1">
        <v>497</v>
      </c>
      <c r="B498" s="1">
        <v>14</v>
      </c>
      <c r="C498" s="1" t="s">
        <v>977</v>
      </c>
      <c r="D498" s="1" t="s">
        <v>55</v>
      </c>
      <c r="E498" s="1" t="s">
        <v>1003</v>
      </c>
      <c r="F498">
        <v>7</v>
      </c>
      <c r="G498" t="s">
        <v>1249</v>
      </c>
      <c r="H498" t="s">
        <v>1250</v>
      </c>
      <c r="I498" t="s">
        <v>1142</v>
      </c>
      <c r="J498" t="s">
        <v>1150</v>
      </c>
    </row>
    <row r="499" spans="1:10" ht="13" x14ac:dyDescent="0.15">
      <c r="A499" s="1">
        <v>498</v>
      </c>
      <c r="B499" s="1">
        <v>14</v>
      </c>
      <c r="C499" s="1" t="s">
        <v>1131</v>
      </c>
      <c r="D499" s="1" t="s">
        <v>164</v>
      </c>
      <c r="E499" s="1" t="s">
        <v>1168</v>
      </c>
      <c r="F499">
        <v>10</v>
      </c>
      <c r="G499" t="s">
        <v>1249</v>
      </c>
      <c r="H499" t="s">
        <v>1250</v>
      </c>
      <c r="I499" t="s">
        <v>1142</v>
      </c>
      <c r="J499" t="s">
        <v>1150</v>
      </c>
    </row>
    <row r="500" spans="1:10" ht="13" x14ac:dyDescent="0.15">
      <c r="A500" s="1">
        <v>499</v>
      </c>
      <c r="B500" s="1">
        <v>14</v>
      </c>
      <c r="C500" s="1" t="s">
        <v>1164</v>
      </c>
      <c r="D500" s="1" t="s">
        <v>17</v>
      </c>
      <c r="E500" s="1" t="s">
        <v>1033</v>
      </c>
      <c r="F500">
        <v>10</v>
      </c>
      <c r="G500" t="s">
        <v>1249</v>
      </c>
      <c r="H500" t="s">
        <v>1250</v>
      </c>
      <c r="I500" t="s">
        <v>1142</v>
      </c>
      <c r="J500" t="s">
        <v>1150</v>
      </c>
    </row>
    <row r="501" spans="1:10" ht="13" x14ac:dyDescent="0.15">
      <c r="A501" s="1">
        <v>500</v>
      </c>
      <c r="B501" s="1">
        <v>14</v>
      </c>
      <c r="C501" s="1" t="s">
        <v>1043</v>
      </c>
      <c r="D501" s="1" t="s">
        <v>171</v>
      </c>
      <c r="E501" s="1" t="s">
        <v>1013</v>
      </c>
      <c r="F501">
        <v>14</v>
      </c>
      <c r="G501" t="s">
        <v>1249</v>
      </c>
      <c r="H501" t="s">
        <v>1250</v>
      </c>
      <c r="I501" t="s">
        <v>1145</v>
      </c>
      <c r="J501" t="s">
        <v>1150</v>
      </c>
    </row>
    <row r="502" spans="1:10" ht="13" x14ac:dyDescent="0.15">
      <c r="A502" s="1">
        <v>501</v>
      </c>
      <c r="B502" s="1">
        <v>14</v>
      </c>
      <c r="C502" s="1" t="s">
        <v>1129</v>
      </c>
      <c r="D502" s="1" t="s">
        <v>135</v>
      </c>
      <c r="E502" s="1" t="s">
        <v>1285</v>
      </c>
      <c r="F502">
        <v>14</v>
      </c>
      <c r="G502" t="s">
        <v>1249</v>
      </c>
      <c r="H502" t="s">
        <v>1250</v>
      </c>
      <c r="I502" t="s">
        <v>1144</v>
      </c>
      <c r="J502" t="s">
        <v>1150</v>
      </c>
    </row>
    <row r="503" spans="1:10" ht="13" x14ac:dyDescent="0.15">
      <c r="A503" s="1">
        <v>502</v>
      </c>
      <c r="B503" s="1">
        <v>14</v>
      </c>
      <c r="C503" s="1" t="s">
        <v>975</v>
      </c>
      <c r="D503" s="1" t="s">
        <v>535</v>
      </c>
      <c r="E503" s="1" t="s">
        <v>1035</v>
      </c>
      <c r="F503" t="s">
        <v>1150</v>
      </c>
      <c r="G503" t="s">
        <v>1249</v>
      </c>
      <c r="H503" t="s">
        <v>1250</v>
      </c>
      <c r="I503" t="s">
        <v>1150</v>
      </c>
      <c r="J503" t="s">
        <v>1150</v>
      </c>
    </row>
    <row r="504" spans="1:10" ht="13" x14ac:dyDescent="0.15">
      <c r="A504" s="1">
        <v>503</v>
      </c>
      <c r="B504" s="1">
        <v>14</v>
      </c>
      <c r="C504" s="1" t="s">
        <v>1116</v>
      </c>
      <c r="D504" s="1" t="s">
        <v>535</v>
      </c>
      <c r="E504" s="1" t="s">
        <v>1042</v>
      </c>
      <c r="F504" t="s">
        <v>1150</v>
      </c>
      <c r="G504" t="s">
        <v>1249</v>
      </c>
      <c r="H504" t="s">
        <v>1250</v>
      </c>
      <c r="I504" t="s">
        <v>1150</v>
      </c>
      <c r="J504" t="s">
        <v>1150</v>
      </c>
    </row>
    <row r="505" spans="1:10" ht="13" x14ac:dyDescent="0.15">
      <c r="A505" s="1">
        <v>504</v>
      </c>
      <c r="B505" s="1">
        <v>14</v>
      </c>
      <c r="C505" s="1" t="s">
        <v>898</v>
      </c>
      <c r="D505" s="1" t="s">
        <v>70</v>
      </c>
      <c r="E505" s="1" t="s">
        <v>1040</v>
      </c>
      <c r="F505">
        <v>5</v>
      </c>
      <c r="G505" t="s">
        <v>1249</v>
      </c>
      <c r="H505" t="s">
        <v>1250</v>
      </c>
      <c r="I505" t="s">
        <v>1144</v>
      </c>
      <c r="J505" t="s">
        <v>1150</v>
      </c>
    </row>
    <row r="506" spans="1:10" ht="13" x14ac:dyDescent="0.15">
      <c r="A506" s="1">
        <v>505</v>
      </c>
      <c r="B506" s="1">
        <v>14</v>
      </c>
      <c r="C506" s="1" t="s">
        <v>969</v>
      </c>
      <c r="D506" s="1" t="s">
        <v>194</v>
      </c>
      <c r="E506" s="1" t="s">
        <v>1036</v>
      </c>
      <c r="F506">
        <v>9</v>
      </c>
      <c r="G506" t="s">
        <v>1249</v>
      </c>
      <c r="H506" t="s">
        <v>1250</v>
      </c>
      <c r="I506" t="s">
        <v>1144</v>
      </c>
      <c r="J506" t="s">
        <v>1150</v>
      </c>
    </row>
    <row r="507" spans="1:10" ht="13" x14ac:dyDescent="0.15">
      <c r="A507" s="1">
        <v>506</v>
      </c>
      <c r="B507" s="1">
        <v>14</v>
      </c>
      <c r="C507" s="1" t="s">
        <v>1253</v>
      </c>
      <c r="D507" s="1" t="s">
        <v>26</v>
      </c>
      <c r="E507" s="1" t="s">
        <v>1025</v>
      </c>
      <c r="F507">
        <v>6</v>
      </c>
      <c r="G507" t="s">
        <v>1249</v>
      </c>
      <c r="H507" t="s">
        <v>1250</v>
      </c>
      <c r="I507" t="s">
        <v>1142</v>
      </c>
      <c r="J507" t="s">
        <v>1150</v>
      </c>
    </row>
    <row r="508" spans="1:10" ht="13" x14ac:dyDescent="0.15">
      <c r="A508" s="1">
        <v>507</v>
      </c>
      <c r="B508" s="1">
        <v>14</v>
      </c>
      <c r="C508" s="1" t="s">
        <v>1160</v>
      </c>
      <c r="D508" s="1" t="s">
        <v>535</v>
      </c>
      <c r="E508" s="1" t="s">
        <v>1302</v>
      </c>
      <c r="F508" t="s">
        <v>1150</v>
      </c>
      <c r="G508" t="s">
        <v>1249</v>
      </c>
      <c r="H508" t="s">
        <v>1250</v>
      </c>
      <c r="I508" t="s">
        <v>1150</v>
      </c>
      <c r="J508" t="s">
        <v>1150</v>
      </c>
    </row>
    <row r="509" spans="1:10" ht="13" x14ac:dyDescent="0.15">
      <c r="A509" s="1">
        <v>508</v>
      </c>
      <c r="B509" s="1">
        <v>14</v>
      </c>
      <c r="C509" s="1" t="s">
        <v>962</v>
      </c>
      <c r="D509" s="1" t="s">
        <v>17</v>
      </c>
      <c r="E509" s="1" t="s">
        <v>1046</v>
      </c>
      <c r="F509">
        <v>10</v>
      </c>
      <c r="G509" t="s">
        <v>1249</v>
      </c>
      <c r="H509" t="s">
        <v>1250</v>
      </c>
      <c r="I509" t="s">
        <v>1144</v>
      </c>
      <c r="J509" t="s">
        <v>1150</v>
      </c>
    </row>
    <row r="510" spans="1:10" ht="13" x14ac:dyDescent="0.15">
      <c r="A510" s="1">
        <v>509</v>
      </c>
      <c r="B510" s="1">
        <v>14</v>
      </c>
      <c r="C510" s="1" t="s">
        <v>1137</v>
      </c>
      <c r="D510" s="1" t="s">
        <v>55</v>
      </c>
      <c r="E510" s="1" t="s">
        <v>1048</v>
      </c>
      <c r="F510">
        <v>7</v>
      </c>
      <c r="G510" t="s">
        <v>1249</v>
      </c>
      <c r="H510" t="s">
        <v>1250</v>
      </c>
      <c r="I510" t="s">
        <v>1142</v>
      </c>
      <c r="J510" t="s">
        <v>1150</v>
      </c>
    </row>
    <row r="511" spans="1:10" ht="13" x14ac:dyDescent="0.15">
      <c r="A511" s="1">
        <v>510</v>
      </c>
      <c r="B511" s="1">
        <v>14</v>
      </c>
      <c r="C511" s="1" t="s">
        <v>1102</v>
      </c>
      <c r="D511" s="1" t="s">
        <v>140</v>
      </c>
      <c r="E511" s="1" t="s">
        <v>1038</v>
      </c>
      <c r="F511">
        <v>12</v>
      </c>
      <c r="G511" t="s">
        <v>1249</v>
      </c>
      <c r="H511" t="s">
        <v>1250</v>
      </c>
      <c r="I511" t="s">
        <v>1142</v>
      </c>
      <c r="J511" t="s">
        <v>1150</v>
      </c>
    </row>
    <row r="512" spans="1:10" ht="13" x14ac:dyDescent="0.15">
      <c r="A512" s="1">
        <v>511</v>
      </c>
      <c r="B512" s="1">
        <v>14</v>
      </c>
      <c r="C512" s="1" t="s">
        <v>1197</v>
      </c>
      <c r="D512" s="1" t="s">
        <v>32</v>
      </c>
      <c r="E512" s="1" t="s">
        <v>1060</v>
      </c>
      <c r="F512">
        <v>10</v>
      </c>
      <c r="G512" t="s">
        <v>1249</v>
      </c>
      <c r="H512" t="s">
        <v>1250</v>
      </c>
      <c r="I512" t="s">
        <v>1144</v>
      </c>
      <c r="J512" t="s">
        <v>1150</v>
      </c>
    </row>
    <row r="513" spans="1:10" ht="13" x14ac:dyDescent="0.15">
      <c r="A513" s="1">
        <v>512</v>
      </c>
      <c r="B513" s="1">
        <v>14</v>
      </c>
      <c r="C513" s="1" t="s">
        <v>998</v>
      </c>
      <c r="D513" s="1" t="s">
        <v>535</v>
      </c>
      <c r="E513" s="1" t="s">
        <v>1044</v>
      </c>
      <c r="F513" t="s">
        <v>1150</v>
      </c>
      <c r="G513" t="s">
        <v>1249</v>
      </c>
      <c r="H513" t="s">
        <v>1250</v>
      </c>
      <c r="I513" t="s">
        <v>1150</v>
      </c>
      <c r="J513" t="s">
        <v>1150</v>
      </c>
    </row>
    <row r="514" spans="1:10" ht="13" x14ac:dyDescent="0.15">
      <c r="A514" s="1">
        <v>513</v>
      </c>
      <c r="B514" s="1">
        <v>14</v>
      </c>
      <c r="C514" s="1" t="s">
        <v>1278</v>
      </c>
      <c r="D514" s="1" t="s">
        <v>20</v>
      </c>
      <c r="E514" s="1" t="s">
        <v>1050</v>
      </c>
      <c r="F514">
        <v>5</v>
      </c>
      <c r="G514" t="s">
        <v>1249</v>
      </c>
      <c r="H514" t="s">
        <v>1250</v>
      </c>
      <c r="I514" t="s">
        <v>1143</v>
      </c>
      <c r="J514" t="s">
        <v>1150</v>
      </c>
    </row>
    <row r="515" spans="1:10" ht="13" x14ac:dyDescent="0.15">
      <c r="A515" s="1">
        <v>514</v>
      </c>
      <c r="B515" s="1">
        <v>14</v>
      </c>
      <c r="C515" s="1" t="s">
        <v>1098</v>
      </c>
      <c r="D515" s="1" t="s">
        <v>55</v>
      </c>
      <c r="E515" s="1" t="s">
        <v>1052</v>
      </c>
      <c r="F515">
        <v>7</v>
      </c>
      <c r="G515" t="s">
        <v>1249</v>
      </c>
      <c r="H515" t="s">
        <v>1250</v>
      </c>
      <c r="I515" t="s">
        <v>1142</v>
      </c>
      <c r="J515" t="s">
        <v>1150</v>
      </c>
    </row>
    <row r="516" spans="1:10" ht="13" x14ac:dyDescent="0.15">
      <c r="A516" s="1">
        <v>515</v>
      </c>
      <c r="B516" s="1">
        <v>14</v>
      </c>
      <c r="C516" s="1" t="s">
        <v>1022</v>
      </c>
      <c r="D516" s="1" t="s">
        <v>26</v>
      </c>
      <c r="E516" s="1" t="s">
        <v>1058</v>
      </c>
      <c r="F516">
        <v>6</v>
      </c>
      <c r="G516" t="s">
        <v>1249</v>
      </c>
      <c r="H516" t="s">
        <v>1250</v>
      </c>
      <c r="I516" t="s">
        <v>1142</v>
      </c>
      <c r="J516" t="s">
        <v>1150</v>
      </c>
    </row>
    <row r="517" spans="1:10" ht="13" x14ac:dyDescent="0.15">
      <c r="A517" s="1">
        <v>516</v>
      </c>
      <c r="B517" s="1">
        <v>14</v>
      </c>
      <c r="C517" s="1" t="s">
        <v>1200</v>
      </c>
      <c r="D517" s="1" t="s">
        <v>140</v>
      </c>
      <c r="E517" s="1" t="s">
        <v>1054</v>
      </c>
      <c r="F517">
        <v>12</v>
      </c>
      <c r="G517" t="s">
        <v>1249</v>
      </c>
      <c r="H517" t="s">
        <v>1250</v>
      </c>
      <c r="I517" t="s">
        <v>1142</v>
      </c>
      <c r="J517" t="s">
        <v>1150</v>
      </c>
    </row>
    <row r="518" spans="1:10" ht="13" x14ac:dyDescent="0.15">
      <c r="A518" s="1">
        <v>517</v>
      </c>
      <c r="B518" s="1">
        <v>14</v>
      </c>
      <c r="C518" s="1" t="s">
        <v>1155</v>
      </c>
      <c r="D518" s="1" t="s">
        <v>26</v>
      </c>
      <c r="E518" s="1" t="s">
        <v>1073</v>
      </c>
      <c r="F518">
        <v>6</v>
      </c>
      <c r="G518" t="s">
        <v>1249</v>
      </c>
      <c r="H518" t="s">
        <v>1250</v>
      </c>
      <c r="I518" t="s">
        <v>1144</v>
      </c>
      <c r="J518" t="s">
        <v>1150</v>
      </c>
    </row>
    <row r="519" spans="1:10" ht="13" x14ac:dyDescent="0.15">
      <c r="A519" s="1">
        <v>518</v>
      </c>
      <c r="B519" s="1">
        <v>14</v>
      </c>
      <c r="C519" s="1" t="s">
        <v>987</v>
      </c>
      <c r="D519" s="1" t="s">
        <v>46</v>
      </c>
      <c r="E519" s="1" t="s">
        <v>1056</v>
      </c>
      <c r="F519">
        <v>8</v>
      </c>
      <c r="G519" t="s">
        <v>1249</v>
      </c>
      <c r="H519" t="s">
        <v>1250</v>
      </c>
      <c r="I519" t="s">
        <v>1142</v>
      </c>
      <c r="J519" t="s">
        <v>1150</v>
      </c>
    </row>
    <row r="520" spans="1:10" ht="13" x14ac:dyDescent="0.15">
      <c r="A520" s="1">
        <v>519</v>
      </c>
      <c r="B520" s="1">
        <v>14</v>
      </c>
      <c r="C520" s="1" t="s">
        <v>1178</v>
      </c>
      <c r="D520" s="1" t="s">
        <v>35</v>
      </c>
      <c r="E520" s="1" t="s">
        <v>1075</v>
      </c>
      <c r="F520">
        <v>8</v>
      </c>
      <c r="G520" t="s">
        <v>1249</v>
      </c>
      <c r="H520" t="s">
        <v>1250</v>
      </c>
      <c r="I520" t="s">
        <v>1142</v>
      </c>
      <c r="J520" t="s">
        <v>1150</v>
      </c>
    </row>
    <row r="521" spans="1:10" ht="13" x14ac:dyDescent="0.15">
      <c r="A521" s="1">
        <v>520</v>
      </c>
      <c r="B521" s="1">
        <v>14</v>
      </c>
      <c r="C521" s="1" t="s">
        <v>1059</v>
      </c>
      <c r="D521" s="1" t="s">
        <v>535</v>
      </c>
      <c r="E521" s="1" t="s">
        <v>1087</v>
      </c>
      <c r="F521" t="s">
        <v>1150</v>
      </c>
      <c r="G521" t="s">
        <v>1249</v>
      </c>
      <c r="H521" t="s">
        <v>1250</v>
      </c>
      <c r="I521" t="s">
        <v>1150</v>
      </c>
      <c r="J521" t="s">
        <v>1150</v>
      </c>
    </row>
    <row r="522" spans="1:10" ht="13" x14ac:dyDescent="0.15">
      <c r="A522" s="1">
        <v>521</v>
      </c>
      <c r="B522" s="1">
        <v>14</v>
      </c>
      <c r="C522" s="1" t="s">
        <v>1221</v>
      </c>
      <c r="D522" s="1" t="s">
        <v>29</v>
      </c>
      <c r="E522" s="1" t="s">
        <v>1089</v>
      </c>
      <c r="F522">
        <v>8</v>
      </c>
      <c r="G522" t="s">
        <v>1249</v>
      </c>
      <c r="H522" t="s">
        <v>1250</v>
      </c>
      <c r="I522" t="s">
        <v>1144</v>
      </c>
      <c r="J522" t="s">
        <v>1150</v>
      </c>
    </row>
    <row r="523" spans="1:10" ht="13" x14ac:dyDescent="0.15">
      <c r="A523" s="1">
        <v>522</v>
      </c>
      <c r="B523" s="1">
        <v>14</v>
      </c>
      <c r="C523" s="1" t="s">
        <v>936</v>
      </c>
      <c r="D523" s="1" t="s">
        <v>535</v>
      </c>
      <c r="E523" s="1" t="s">
        <v>1091</v>
      </c>
      <c r="F523" t="s">
        <v>1150</v>
      </c>
      <c r="G523" t="s">
        <v>1249</v>
      </c>
      <c r="H523" t="s">
        <v>1250</v>
      </c>
      <c r="I523" t="s">
        <v>1150</v>
      </c>
      <c r="J523" t="s">
        <v>1150</v>
      </c>
    </row>
    <row r="524" spans="1:10" ht="13" x14ac:dyDescent="0.15">
      <c r="A524" s="1">
        <v>523</v>
      </c>
      <c r="B524" s="1">
        <v>14</v>
      </c>
      <c r="C524" s="1" t="s">
        <v>1065</v>
      </c>
      <c r="D524" s="1" t="s">
        <v>151</v>
      </c>
      <c r="E524" s="1" t="s">
        <v>1062</v>
      </c>
      <c r="F524">
        <v>10</v>
      </c>
      <c r="G524" t="s">
        <v>1249</v>
      </c>
      <c r="H524" t="s">
        <v>1250</v>
      </c>
      <c r="I524" t="s">
        <v>1142</v>
      </c>
      <c r="J524" t="s">
        <v>1150</v>
      </c>
    </row>
    <row r="525" spans="1:10" ht="13" x14ac:dyDescent="0.15">
      <c r="A525" s="1">
        <v>524</v>
      </c>
      <c r="B525" s="1">
        <v>14</v>
      </c>
      <c r="C525" s="1" t="s">
        <v>1074</v>
      </c>
      <c r="D525" s="1" t="s">
        <v>70</v>
      </c>
      <c r="E525" s="1" t="s">
        <v>1097</v>
      </c>
      <c r="F525">
        <v>5</v>
      </c>
      <c r="G525" t="s">
        <v>1249</v>
      </c>
      <c r="H525" t="s">
        <v>1250</v>
      </c>
      <c r="I525" t="s">
        <v>1144</v>
      </c>
      <c r="J525" t="s">
        <v>1150</v>
      </c>
    </row>
    <row r="526" spans="1:10" ht="13" x14ac:dyDescent="0.15">
      <c r="A526" s="1">
        <v>525</v>
      </c>
      <c r="B526" s="1">
        <v>14</v>
      </c>
      <c r="C526" s="1" t="s">
        <v>1233</v>
      </c>
      <c r="D526" s="1" t="s">
        <v>535</v>
      </c>
      <c r="E526" s="1" t="s">
        <v>1064</v>
      </c>
      <c r="F526" t="s">
        <v>1150</v>
      </c>
      <c r="G526" t="s">
        <v>1249</v>
      </c>
      <c r="H526" t="s">
        <v>1250</v>
      </c>
      <c r="I526" t="s">
        <v>1150</v>
      </c>
      <c r="J526">
        <v>-162</v>
      </c>
    </row>
    <row r="527" spans="1:10" ht="13" x14ac:dyDescent="0.15">
      <c r="A527" s="1">
        <v>526</v>
      </c>
      <c r="B527" s="1">
        <v>14</v>
      </c>
      <c r="C527" s="1" t="s">
        <v>1167</v>
      </c>
      <c r="D527" s="1" t="s">
        <v>41</v>
      </c>
      <c r="E527" s="1" t="s">
        <v>1109</v>
      </c>
      <c r="F527">
        <v>6</v>
      </c>
      <c r="G527" t="s">
        <v>1249</v>
      </c>
      <c r="H527" t="s">
        <v>1250</v>
      </c>
      <c r="I527" t="s">
        <v>1142</v>
      </c>
      <c r="J527" t="s">
        <v>1150</v>
      </c>
    </row>
    <row r="528" spans="1:10" ht="13" x14ac:dyDescent="0.15">
      <c r="A528" s="1">
        <v>527</v>
      </c>
      <c r="B528" s="1">
        <v>14</v>
      </c>
      <c r="C528" s="1" t="s">
        <v>1209</v>
      </c>
      <c r="D528" s="1" t="s">
        <v>84</v>
      </c>
      <c r="E528" s="1" t="s">
        <v>1066</v>
      </c>
      <c r="F528">
        <v>7</v>
      </c>
      <c r="G528" t="s">
        <v>1249</v>
      </c>
      <c r="H528" t="s">
        <v>1250</v>
      </c>
      <c r="I528" t="s">
        <v>1142</v>
      </c>
      <c r="J528" t="s">
        <v>1150</v>
      </c>
    </row>
    <row r="529" spans="1:10" ht="13" x14ac:dyDescent="0.15">
      <c r="A529" s="1">
        <v>528</v>
      </c>
      <c r="B529" s="1">
        <v>14</v>
      </c>
      <c r="C529" s="1" t="s">
        <v>954</v>
      </c>
      <c r="D529" s="1" t="s">
        <v>122</v>
      </c>
      <c r="E529" s="1" t="s">
        <v>1171</v>
      </c>
      <c r="F529">
        <v>11</v>
      </c>
      <c r="G529" t="s">
        <v>1249</v>
      </c>
      <c r="H529" t="s">
        <v>1250</v>
      </c>
      <c r="I529" t="s">
        <v>1145</v>
      </c>
      <c r="J529" t="s">
        <v>1150</v>
      </c>
    </row>
    <row r="530" spans="1:10" ht="13" x14ac:dyDescent="0.15">
      <c r="A530" s="1">
        <v>529</v>
      </c>
      <c r="B530" s="1">
        <v>14</v>
      </c>
      <c r="C530" s="1" t="s">
        <v>1180</v>
      </c>
      <c r="D530" s="1" t="s">
        <v>38</v>
      </c>
      <c r="E530" s="1" t="s">
        <v>1101</v>
      </c>
      <c r="F530">
        <v>14</v>
      </c>
      <c r="G530" t="s">
        <v>1249</v>
      </c>
      <c r="H530" t="s">
        <v>1250</v>
      </c>
      <c r="I530" t="s">
        <v>1144</v>
      </c>
      <c r="J530" t="s">
        <v>1150</v>
      </c>
    </row>
    <row r="531" spans="1:10" ht="13" x14ac:dyDescent="0.15">
      <c r="A531" s="1">
        <v>530</v>
      </c>
      <c r="B531" s="1">
        <v>14</v>
      </c>
      <c r="C531" s="1" t="s">
        <v>1227</v>
      </c>
      <c r="D531" s="1" t="s">
        <v>98</v>
      </c>
      <c r="E531" s="1" t="s">
        <v>1103</v>
      </c>
      <c r="F531">
        <v>9</v>
      </c>
      <c r="G531" t="s">
        <v>1249</v>
      </c>
      <c r="H531" t="s">
        <v>1250</v>
      </c>
      <c r="I531" t="s">
        <v>1143</v>
      </c>
      <c r="J531" t="s">
        <v>1150</v>
      </c>
    </row>
    <row r="532" spans="1:10" ht="13" x14ac:dyDescent="0.15">
      <c r="A532" s="1">
        <v>531</v>
      </c>
      <c r="B532" s="1">
        <v>14</v>
      </c>
      <c r="C532" s="1" t="s">
        <v>1157</v>
      </c>
      <c r="D532" s="1" t="s">
        <v>23</v>
      </c>
      <c r="E532" s="1" t="s">
        <v>1173</v>
      </c>
      <c r="F532">
        <v>9</v>
      </c>
      <c r="G532" t="s">
        <v>1249</v>
      </c>
      <c r="H532" t="s">
        <v>1250</v>
      </c>
      <c r="I532" t="s">
        <v>1142</v>
      </c>
      <c r="J532" t="s">
        <v>1150</v>
      </c>
    </row>
    <row r="533" spans="1:10" ht="13" x14ac:dyDescent="0.15">
      <c r="A533" s="1">
        <v>532</v>
      </c>
      <c r="B533" s="1">
        <v>14</v>
      </c>
      <c r="C533" s="1" t="s">
        <v>902</v>
      </c>
      <c r="D533" s="1" t="s">
        <v>76</v>
      </c>
      <c r="E533" s="1" t="s">
        <v>1105</v>
      </c>
      <c r="F533">
        <v>12</v>
      </c>
      <c r="G533" t="s">
        <v>1249</v>
      </c>
      <c r="H533" t="s">
        <v>1250</v>
      </c>
      <c r="I533" t="s">
        <v>1142</v>
      </c>
      <c r="J533" t="s">
        <v>1150</v>
      </c>
    </row>
    <row r="534" spans="1:10" ht="13" x14ac:dyDescent="0.15">
      <c r="A534" s="1">
        <v>533</v>
      </c>
      <c r="B534" s="1">
        <v>14</v>
      </c>
      <c r="C534" s="1" t="s">
        <v>1080</v>
      </c>
      <c r="D534" s="1" t="s">
        <v>49</v>
      </c>
      <c r="E534" s="1" t="s">
        <v>1070</v>
      </c>
      <c r="F534">
        <v>14</v>
      </c>
      <c r="G534" t="s">
        <v>1249</v>
      </c>
      <c r="H534" t="s">
        <v>1250</v>
      </c>
      <c r="I534" t="s">
        <v>1142</v>
      </c>
      <c r="J534" t="s">
        <v>1150</v>
      </c>
    </row>
    <row r="535" spans="1:10" ht="13" x14ac:dyDescent="0.15">
      <c r="A535" s="1">
        <v>534</v>
      </c>
      <c r="B535" s="1">
        <v>14</v>
      </c>
      <c r="C535" s="1" t="s">
        <v>1108</v>
      </c>
      <c r="D535" s="1" t="s">
        <v>125</v>
      </c>
      <c r="E535" s="1" t="s">
        <v>1176</v>
      </c>
      <c r="F535">
        <v>5</v>
      </c>
      <c r="G535" t="s">
        <v>1249</v>
      </c>
      <c r="H535" t="s">
        <v>1250</v>
      </c>
      <c r="I535" t="s">
        <v>1144</v>
      </c>
      <c r="J535" t="s">
        <v>1150</v>
      </c>
    </row>
    <row r="536" spans="1:10" ht="13" x14ac:dyDescent="0.15">
      <c r="A536" s="1">
        <v>535</v>
      </c>
      <c r="B536" s="1">
        <v>14</v>
      </c>
      <c r="C536" s="1" t="s">
        <v>1094</v>
      </c>
      <c r="D536" s="1" t="s">
        <v>535</v>
      </c>
      <c r="E536" s="1" t="s">
        <v>1079</v>
      </c>
      <c r="F536" t="s">
        <v>1150</v>
      </c>
      <c r="G536" t="s">
        <v>1249</v>
      </c>
      <c r="H536" t="s">
        <v>1250</v>
      </c>
      <c r="I536" t="s">
        <v>1150</v>
      </c>
      <c r="J536" t="s">
        <v>1150</v>
      </c>
    </row>
    <row r="537" spans="1:10" ht="13" x14ac:dyDescent="0.15">
      <c r="A537" s="1">
        <v>536</v>
      </c>
      <c r="B537" s="1">
        <v>14</v>
      </c>
      <c r="C537" s="1" t="s">
        <v>1061</v>
      </c>
      <c r="D537" s="1" t="s">
        <v>52</v>
      </c>
      <c r="E537" s="1" t="s">
        <v>1081</v>
      </c>
      <c r="F537">
        <v>8</v>
      </c>
      <c r="G537" t="s">
        <v>1249</v>
      </c>
      <c r="H537" t="s">
        <v>1250</v>
      </c>
      <c r="I537" t="s">
        <v>1144</v>
      </c>
      <c r="J537" t="s">
        <v>1150</v>
      </c>
    </row>
    <row r="538" spans="1:10" ht="13" x14ac:dyDescent="0.15">
      <c r="A538" s="1">
        <v>537</v>
      </c>
      <c r="B538" s="1">
        <v>14</v>
      </c>
      <c r="C538" s="1" t="s">
        <v>1175</v>
      </c>
      <c r="D538" s="1" t="s">
        <v>535</v>
      </c>
      <c r="E538" s="1" t="s">
        <v>1068</v>
      </c>
      <c r="F538" t="s">
        <v>1150</v>
      </c>
      <c r="G538" t="s">
        <v>1249</v>
      </c>
      <c r="H538" t="s">
        <v>1250</v>
      </c>
      <c r="I538" t="s">
        <v>1150</v>
      </c>
      <c r="J538" t="s">
        <v>1150</v>
      </c>
    </row>
    <row r="539" spans="1:10" ht="13" x14ac:dyDescent="0.15">
      <c r="A539" s="1">
        <v>538</v>
      </c>
      <c r="B539" s="1">
        <v>14</v>
      </c>
      <c r="C539" s="1" t="s">
        <v>1165</v>
      </c>
      <c r="D539" s="1" t="s">
        <v>46</v>
      </c>
      <c r="E539" s="1" t="s">
        <v>1179</v>
      </c>
      <c r="F539">
        <v>8</v>
      </c>
      <c r="G539" t="s">
        <v>1249</v>
      </c>
      <c r="H539" t="s">
        <v>1250</v>
      </c>
      <c r="I539" t="s">
        <v>1142</v>
      </c>
      <c r="J539" t="s">
        <v>1150</v>
      </c>
    </row>
    <row r="540" spans="1:10" ht="13" x14ac:dyDescent="0.15">
      <c r="A540" s="1">
        <v>539</v>
      </c>
      <c r="B540" s="1">
        <v>14</v>
      </c>
      <c r="C540" s="1" t="s">
        <v>1016</v>
      </c>
      <c r="D540" s="1" t="s">
        <v>93</v>
      </c>
      <c r="E540" s="1" t="s">
        <v>1107</v>
      </c>
      <c r="F540">
        <v>8</v>
      </c>
      <c r="G540" t="s">
        <v>1249</v>
      </c>
      <c r="H540" t="s">
        <v>1250</v>
      </c>
      <c r="I540" t="s">
        <v>1142</v>
      </c>
      <c r="J540" t="s">
        <v>1150</v>
      </c>
    </row>
    <row r="541" spans="1:10" ht="13" x14ac:dyDescent="0.15">
      <c r="A541" s="1">
        <v>540</v>
      </c>
      <c r="B541" s="1">
        <v>14</v>
      </c>
      <c r="C541" s="1" t="s">
        <v>1303</v>
      </c>
      <c r="D541" s="1" t="s">
        <v>58</v>
      </c>
      <c r="E541" s="1" t="s">
        <v>1304</v>
      </c>
      <c r="F541">
        <v>12</v>
      </c>
      <c r="G541" t="s">
        <v>1249</v>
      </c>
      <c r="H541" t="s">
        <v>1250</v>
      </c>
      <c r="I541" t="s">
        <v>1144</v>
      </c>
      <c r="J541" t="s">
        <v>1150</v>
      </c>
    </row>
    <row r="542" spans="1:10" ht="13" x14ac:dyDescent="0.15">
      <c r="A542" s="1">
        <v>541</v>
      </c>
      <c r="B542" s="1">
        <v>14</v>
      </c>
      <c r="C542" s="1" t="s">
        <v>1254</v>
      </c>
      <c r="D542" s="1" t="s">
        <v>73</v>
      </c>
      <c r="E542" s="1" t="s">
        <v>1182</v>
      </c>
      <c r="F542">
        <v>9</v>
      </c>
      <c r="G542" t="s">
        <v>1249</v>
      </c>
      <c r="H542" t="s">
        <v>1250</v>
      </c>
      <c r="I542" t="s">
        <v>1144</v>
      </c>
      <c r="J542" t="s">
        <v>1150</v>
      </c>
    </row>
    <row r="543" spans="1:10" ht="13" x14ac:dyDescent="0.15">
      <c r="A543" s="1">
        <v>542</v>
      </c>
      <c r="B543" s="1">
        <v>14</v>
      </c>
      <c r="C543" s="1" t="s">
        <v>1170</v>
      </c>
      <c r="D543" s="1" t="s">
        <v>93</v>
      </c>
      <c r="E543" s="1" t="s">
        <v>1184</v>
      </c>
      <c r="F543">
        <v>8</v>
      </c>
      <c r="G543" t="s">
        <v>1249</v>
      </c>
      <c r="H543" t="s">
        <v>1250</v>
      </c>
      <c r="I543" t="s">
        <v>1142</v>
      </c>
      <c r="J543" t="s">
        <v>1150</v>
      </c>
    </row>
    <row r="544" spans="1:10" ht="13" x14ac:dyDescent="0.15">
      <c r="A544" s="1">
        <v>543</v>
      </c>
      <c r="B544" s="1">
        <v>14</v>
      </c>
      <c r="C544" s="1" t="s">
        <v>1024</v>
      </c>
      <c r="D544" s="1" t="s">
        <v>84</v>
      </c>
      <c r="E544" s="1" t="s">
        <v>1185</v>
      </c>
      <c r="F544">
        <v>7</v>
      </c>
      <c r="G544" t="s">
        <v>1249</v>
      </c>
      <c r="H544" t="s">
        <v>1250</v>
      </c>
      <c r="I544" t="s">
        <v>1143</v>
      </c>
      <c r="J544" t="s">
        <v>1150</v>
      </c>
    </row>
    <row r="545" spans="1:10" ht="13" x14ac:dyDescent="0.15">
      <c r="A545">
        <v>544</v>
      </c>
      <c r="B545">
        <v>14</v>
      </c>
      <c r="C545" t="s">
        <v>894</v>
      </c>
      <c r="D545" t="s">
        <v>535</v>
      </c>
      <c r="E545" t="s">
        <v>1072</v>
      </c>
      <c r="F545" t="s">
        <v>1150</v>
      </c>
      <c r="G545" t="s">
        <v>1249</v>
      </c>
      <c r="H545" t="s">
        <v>1250</v>
      </c>
      <c r="I545" t="s">
        <v>1150</v>
      </c>
      <c r="J545" t="s">
        <v>1150</v>
      </c>
    </row>
    <row r="546" spans="1:10" ht="13" x14ac:dyDescent="0.15">
      <c r="A546">
        <v>545</v>
      </c>
      <c r="B546">
        <v>14</v>
      </c>
      <c r="C546" t="s">
        <v>1158</v>
      </c>
      <c r="D546" t="s">
        <v>98</v>
      </c>
      <c r="E546" t="s">
        <v>1093</v>
      </c>
      <c r="F546">
        <v>9</v>
      </c>
      <c r="G546" t="s">
        <v>1249</v>
      </c>
      <c r="H546" t="s">
        <v>1250</v>
      </c>
      <c r="I546" t="s">
        <v>1142</v>
      </c>
      <c r="J546" t="s">
        <v>1150</v>
      </c>
    </row>
    <row r="547" spans="1:10" ht="13" x14ac:dyDescent="0.15">
      <c r="A547">
        <v>546</v>
      </c>
      <c r="B547">
        <v>14</v>
      </c>
      <c r="C547" t="s">
        <v>1256</v>
      </c>
      <c r="D547" t="s">
        <v>122</v>
      </c>
      <c r="E547" t="s">
        <v>1111</v>
      </c>
      <c r="F547">
        <v>11</v>
      </c>
      <c r="G547" t="s">
        <v>1249</v>
      </c>
      <c r="H547" t="s">
        <v>1250</v>
      </c>
      <c r="I547" t="s">
        <v>1143</v>
      </c>
      <c r="J547" t="s">
        <v>1150</v>
      </c>
    </row>
    <row r="548" spans="1:10" ht="13" x14ac:dyDescent="0.15">
      <c r="A548">
        <v>547</v>
      </c>
      <c r="B548">
        <v>14</v>
      </c>
      <c r="C548" t="s">
        <v>1067</v>
      </c>
      <c r="D548" t="s">
        <v>140</v>
      </c>
      <c r="E548" t="s">
        <v>1077</v>
      </c>
      <c r="F548">
        <v>12</v>
      </c>
      <c r="G548" t="s">
        <v>1249</v>
      </c>
      <c r="H548" t="s">
        <v>1250</v>
      </c>
      <c r="I548" t="s">
        <v>1144</v>
      </c>
      <c r="J548" t="s">
        <v>1150</v>
      </c>
    </row>
    <row r="549" spans="1:10" ht="13" x14ac:dyDescent="0.15">
      <c r="A549">
        <v>548</v>
      </c>
      <c r="B549">
        <v>14</v>
      </c>
      <c r="C549" t="s">
        <v>979</v>
      </c>
      <c r="D549" t="s">
        <v>535</v>
      </c>
      <c r="E549" t="s">
        <v>1115</v>
      </c>
      <c r="F549" t="s">
        <v>1150</v>
      </c>
      <c r="G549" t="s">
        <v>1249</v>
      </c>
      <c r="H549" t="s">
        <v>1250</v>
      </c>
      <c r="I549" t="s">
        <v>1150</v>
      </c>
      <c r="J549" t="s">
        <v>1150</v>
      </c>
    </row>
    <row r="550" spans="1:10" ht="13" x14ac:dyDescent="0.15">
      <c r="A550">
        <v>549</v>
      </c>
      <c r="B550">
        <v>14</v>
      </c>
      <c r="C550" t="s">
        <v>1255</v>
      </c>
      <c r="D550" t="s">
        <v>73</v>
      </c>
      <c r="E550" t="s">
        <v>1083</v>
      </c>
      <c r="F550">
        <v>9</v>
      </c>
      <c r="G550" t="s">
        <v>1249</v>
      </c>
      <c r="H550" t="s">
        <v>1250</v>
      </c>
      <c r="I550" t="s">
        <v>1142</v>
      </c>
      <c r="J550" t="s">
        <v>1150</v>
      </c>
    </row>
    <row r="551" spans="1:10" ht="13" x14ac:dyDescent="0.15">
      <c r="A551">
        <v>550</v>
      </c>
      <c r="B551">
        <v>14</v>
      </c>
      <c r="C551" t="s">
        <v>1305</v>
      </c>
      <c r="D551" t="s">
        <v>79</v>
      </c>
      <c r="E551" t="s">
        <v>1085</v>
      </c>
      <c r="F551">
        <v>8</v>
      </c>
      <c r="G551" t="s">
        <v>1249</v>
      </c>
      <c r="H551" t="s">
        <v>1250</v>
      </c>
      <c r="I551" t="s">
        <v>1142</v>
      </c>
      <c r="J551" t="s">
        <v>1150</v>
      </c>
    </row>
    <row r="552" spans="1:10" ht="13" x14ac:dyDescent="0.15">
      <c r="A552">
        <v>551</v>
      </c>
      <c r="B552">
        <v>14</v>
      </c>
      <c r="C552" t="s">
        <v>1187</v>
      </c>
      <c r="D552" t="s">
        <v>93</v>
      </c>
      <c r="E552" t="s">
        <v>1095</v>
      </c>
      <c r="F552">
        <v>8</v>
      </c>
      <c r="G552" t="s">
        <v>1249</v>
      </c>
      <c r="H552" t="s">
        <v>1250</v>
      </c>
      <c r="I552" t="s">
        <v>1143</v>
      </c>
      <c r="J552" t="s">
        <v>1150</v>
      </c>
    </row>
    <row r="553" spans="1:10" ht="13" x14ac:dyDescent="0.15">
      <c r="A553">
        <v>552</v>
      </c>
      <c r="B553">
        <v>14</v>
      </c>
      <c r="C553" t="s">
        <v>1096</v>
      </c>
      <c r="D553" t="s">
        <v>135</v>
      </c>
      <c r="E553" t="s">
        <v>1119</v>
      </c>
      <c r="F553">
        <v>14</v>
      </c>
      <c r="G553" t="s">
        <v>1249</v>
      </c>
      <c r="H553" t="s">
        <v>1250</v>
      </c>
      <c r="I553" t="s">
        <v>1143</v>
      </c>
      <c r="J553" t="s">
        <v>1150</v>
      </c>
    </row>
    <row r="554" spans="1:10" ht="13" x14ac:dyDescent="0.15">
      <c r="A554">
        <v>553</v>
      </c>
      <c r="B554">
        <v>14</v>
      </c>
      <c r="C554" t="s">
        <v>1076</v>
      </c>
      <c r="D554" t="s">
        <v>38</v>
      </c>
      <c r="E554" t="s">
        <v>1099</v>
      </c>
      <c r="F554">
        <v>14</v>
      </c>
      <c r="G554" t="s">
        <v>1249</v>
      </c>
      <c r="H554" t="s">
        <v>1250</v>
      </c>
      <c r="I554" t="s">
        <v>1142</v>
      </c>
      <c r="J554" t="s">
        <v>1150</v>
      </c>
    </row>
    <row r="555" spans="1:10" ht="13" x14ac:dyDescent="0.15">
      <c r="A555">
        <v>554</v>
      </c>
      <c r="B555">
        <v>14</v>
      </c>
      <c r="C555" t="s">
        <v>1199</v>
      </c>
      <c r="D555" t="s">
        <v>535</v>
      </c>
      <c r="E555" t="s">
        <v>1203</v>
      </c>
      <c r="F555" t="s">
        <v>1150</v>
      </c>
      <c r="G555" t="s">
        <v>1249</v>
      </c>
      <c r="H555" t="s">
        <v>1250</v>
      </c>
      <c r="I555" t="s">
        <v>1150</v>
      </c>
      <c r="J555" t="s">
        <v>1150</v>
      </c>
    </row>
    <row r="556" spans="1:10" ht="13" x14ac:dyDescent="0.15">
      <c r="A556">
        <v>555</v>
      </c>
      <c r="B556">
        <v>14</v>
      </c>
      <c r="C556" t="s">
        <v>1086</v>
      </c>
      <c r="D556" t="s">
        <v>20</v>
      </c>
      <c r="E556" t="s">
        <v>1186</v>
      </c>
      <c r="F556">
        <v>5</v>
      </c>
      <c r="G556" t="s">
        <v>1249</v>
      </c>
      <c r="H556" t="s">
        <v>1250</v>
      </c>
      <c r="I556" t="s">
        <v>1142</v>
      </c>
      <c r="J556" t="s">
        <v>1150</v>
      </c>
    </row>
    <row r="557" spans="1:10" ht="13" x14ac:dyDescent="0.15">
      <c r="A557">
        <v>556</v>
      </c>
      <c r="B557">
        <v>14</v>
      </c>
      <c r="C557" t="s">
        <v>1228</v>
      </c>
      <c r="D557" t="s">
        <v>58</v>
      </c>
      <c r="E557" t="s">
        <v>1205</v>
      </c>
      <c r="F557">
        <v>12</v>
      </c>
      <c r="G557" t="s">
        <v>1249</v>
      </c>
      <c r="H557" t="s">
        <v>1250</v>
      </c>
      <c r="I557" t="s">
        <v>1142</v>
      </c>
      <c r="J557" t="s">
        <v>1150</v>
      </c>
    </row>
    <row r="558" spans="1:10" ht="13" x14ac:dyDescent="0.15">
      <c r="A558">
        <v>557</v>
      </c>
      <c r="B558">
        <v>14</v>
      </c>
      <c r="C558" t="s">
        <v>1234</v>
      </c>
      <c r="D558" t="s">
        <v>67</v>
      </c>
      <c r="E558" t="s">
        <v>1206</v>
      </c>
      <c r="F558">
        <v>11</v>
      </c>
      <c r="G558" t="s">
        <v>1249</v>
      </c>
      <c r="H558" t="s">
        <v>1250</v>
      </c>
      <c r="I558" t="s">
        <v>1142</v>
      </c>
      <c r="J558" t="s">
        <v>1150</v>
      </c>
    </row>
    <row r="559" spans="1:10" ht="13" x14ac:dyDescent="0.15">
      <c r="A559">
        <v>558</v>
      </c>
      <c r="B559">
        <v>14</v>
      </c>
      <c r="C559" t="s">
        <v>1193</v>
      </c>
      <c r="D559" t="s">
        <v>132</v>
      </c>
      <c r="E559" t="s">
        <v>1190</v>
      </c>
      <c r="F559">
        <v>5</v>
      </c>
      <c r="G559" t="s">
        <v>1249</v>
      </c>
      <c r="H559" t="s">
        <v>1250</v>
      </c>
      <c r="I559" t="s">
        <v>1143</v>
      </c>
      <c r="J559" t="s">
        <v>1150</v>
      </c>
    </row>
    <row r="560" spans="1:10" ht="13" x14ac:dyDescent="0.15">
      <c r="A560">
        <v>559</v>
      </c>
      <c r="B560">
        <v>15</v>
      </c>
      <c r="C560" t="s">
        <v>1174</v>
      </c>
      <c r="D560" t="s">
        <v>535</v>
      </c>
      <c r="E560" t="s">
        <v>1113</v>
      </c>
      <c r="F560" t="s">
        <v>1150</v>
      </c>
      <c r="G560" t="s">
        <v>1249</v>
      </c>
      <c r="H560" t="s">
        <v>1250</v>
      </c>
      <c r="I560" t="s">
        <v>1150</v>
      </c>
      <c r="J560" t="s">
        <v>1150</v>
      </c>
    </row>
    <row r="561" spans="1:10" ht="13" x14ac:dyDescent="0.15">
      <c r="A561">
        <v>560</v>
      </c>
      <c r="B561">
        <v>15</v>
      </c>
      <c r="C561" t="s">
        <v>1257</v>
      </c>
      <c r="D561" t="s">
        <v>55</v>
      </c>
      <c r="E561" t="s">
        <v>1192</v>
      </c>
      <c r="F561">
        <v>7</v>
      </c>
      <c r="G561" t="s">
        <v>1249</v>
      </c>
      <c r="H561" t="s">
        <v>1250</v>
      </c>
      <c r="I561" t="s">
        <v>1142</v>
      </c>
      <c r="J561" t="s">
        <v>1150</v>
      </c>
    </row>
    <row r="562" spans="1:10" ht="13" x14ac:dyDescent="0.15">
      <c r="A562">
        <v>561</v>
      </c>
      <c r="B562">
        <v>15</v>
      </c>
      <c r="C562" t="s">
        <v>1120</v>
      </c>
      <c r="D562" t="s">
        <v>84</v>
      </c>
      <c r="E562" t="s">
        <v>1117</v>
      </c>
      <c r="F562">
        <v>7</v>
      </c>
      <c r="G562" t="s">
        <v>1249</v>
      </c>
      <c r="H562" t="s">
        <v>1250</v>
      </c>
      <c r="I562" t="s">
        <v>1143</v>
      </c>
      <c r="J562" t="s">
        <v>1150</v>
      </c>
    </row>
    <row r="563" spans="1:10" ht="13" x14ac:dyDescent="0.15">
      <c r="A563">
        <v>562</v>
      </c>
      <c r="B563">
        <v>15</v>
      </c>
      <c r="C563" t="s">
        <v>1258</v>
      </c>
      <c r="D563" t="s">
        <v>535</v>
      </c>
      <c r="E563" t="s">
        <v>1194</v>
      </c>
      <c r="F563" t="s">
        <v>1150</v>
      </c>
      <c r="G563" t="s">
        <v>1249</v>
      </c>
      <c r="H563" t="s">
        <v>1250</v>
      </c>
      <c r="I563" t="s">
        <v>1150</v>
      </c>
      <c r="J563" t="s">
        <v>1150</v>
      </c>
    </row>
    <row r="564" spans="1:10" ht="13" x14ac:dyDescent="0.15">
      <c r="A564">
        <v>563</v>
      </c>
      <c r="B564">
        <v>15</v>
      </c>
      <c r="C564" t="s">
        <v>1114</v>
      </c>
      <c r="D564" t="s">
        <v>194</v>
      </c>
      <c r="E564" t="s">
        <v>1195</v>
      </c>
      <c r="F564">
        <v>9</v>
      </c>
      <c r="G564" t="s">
        <v>1249</v>
      </c>
      <c r="H564" t="s">
        <v>1250</v>
      </c>
      <c r="I564" t="s">
        <v>1144</v>
      </c>
      <c r="J564" t="s">
        <v>1150</v>
      </c>
    </row>
    <row r="565" spans="1:10" ht="13" x14ac:dyDescent="0.15">
      <c r="A565">
        <v>564</v>
      </c>
      <c r="B565">
        <v>15</v>
      </c>
      <c r="C565" t="s">
        <v>1286</v>
      </c>
      <c r="D565" t="s">
        <v>26</v>
      </c>
      <c r="E565" t="s">
        <v>1198</v>
      </c>
      <c r="F565">
        <v>6</v>
      </c>
      <c r="G565" t="s">
        <v>1249</v>
      </c>
      <c r="H565" t="s">
        <v>1250</v>
      </c>
      <c r="I565" t="s">
        <v>1144</v>
      </c>
      <c r="J565" t="s">
        <v>1150</v>
      </c>
    </row>
    <row r="566" spans="1:10" ht="13" x14ac:dyDescent="0.15">
      <c r="A566">
        <v>565</v>
      </c>
      <c r="B566">
        <v>15</v>
      </c>
      <c r="C566" t="s">
        <v>1177</v>
      </c>
      <c r="D566" t="s">
        <v>49</v>
      </c>
      <c r="E566" t="s">
        <v>1121</v>
      </c>
      <c r="F566">
        <v>14</v>
      </c>
      <c r="G566" t="s">
        <v>1249</v>
      </c>
      <c r="H566" t="s">
        <v>1250</v>
      </c>
      <c r="I566" t="s">
        <v>1142</v>
      </c>
      <c r="J566" t="s">
        <v>1150</v>
      </c>
    </row>
    <row r="567" spans="1:10" ht="13" x14ac:dyDescent="0.15">
      <c r="A567">
        <v>566</v>
      </c>
      <c r="B567">
        <v>15</v>
      </c>
      <c r="C567" t="s">
        <v>1112</v>
      </c>
      <c r="D567" t="s">
        <v>20</v>
      </c>
      <c r="E567" t="s">
        <v>1123</v>
      </c>
      <c r="F567">
        <v>5</v>
      </c>
      <c r="G567" t="s">
        <v>1249</v>
      </c>
      <c r="H567" t="s">
        <v>1250</v>
      </c>
      <c r="I567" t="s">
        <v>1143</v>
      </c>
      <c r="J567" t="s">
        <v>1150</v>
      </c>
    </row>
    <row r="568" spans="1:10" ht="13" x14ac:dyDescent="0.15">
      <c r="A568">
        <v>567</v>
      </c>
      <c r="B568">
        <v>15</v>
      </c>
      <c r="C568" t="s">
        <v>1281</v>
      </c>
      <c r="D568" t="s">
        <v>67</v>
      </c>
      <c r="E568" t="s">
        <v>1210</v>
      </c>
      <c r="F568">
        <v>11</v>
      </c>
      <c r="G568" t="s">
        <v>1249</v>
      </c>
      <c r="H568" t="s">
        <v>1250</v>
      </c>
      <c r="I568" t="s">
        <v>1142</v>
      </c>
      <c r="J568" t="s">
        <v>1150</v>
      </c>
    </row>
    <row r="569" spans="1:10" ht="13" x14ac:dyDescent="0.15">
      <c r="A569">
        <v>568</v>
      </c>
      <c r="B569">
        <v>15</v>
      </c>
      <c r="C569" t="s">
        <v>1306</v>
      </c>
      <c r="D569" t="s">
        <v>164</v>
      </c>
      <c r="E569" t="s">
        <v>1213</v>
      </c>
      <c r="F569">
        <v>10</v>
      </c>
      <c r="G569" t="s">
        <v>1249</v>
      </c>
      <c r="H569" t="s">
        <v>1250</v>
      </c>
      <c r="I569" t="s">
        <v>1144</v>
      </c>
      <c r="J569" t="s">
        <v>1150</v>
      </c>
    </row>
    <row r="570" spans="1:10" ht="13" x14ac:dyDescent="0.15">
      <c r="A570">
        <v>569</v>
      </c>
      <c r="B570">
        <v>15</v>
      </c>
      <c r="C570" t="s">
        <v>1063</v>
      </c>
      <c r="D570" t="s">
        <v>125</v>
      </c>
      <c r="E570" t="s">
        <v>1211</v>
      </c>
      <c r="F570">
        <v>5</v>
      </c>
      <c r="G570" t="s">
        <v>1249</v>
      </c>
      <c r="H570" t="s">
        <v>1250</v>
      </c>
      <c r="I570" t="s">
        <v>1143</v>
      </c>
      <c r="J570" t="s">
        <v>1150</v>
      </c>
    </row>
    <row r="571" spans="1:10" ht="13" x14ac:dyDescent="0.15">
      <c r="A571">
        <v>570</v>
      </c>
      <c r="B571">
        <v>15</v>
      </c>
      <c r="C571" t="s">
        <v>1082</v>
      </c>
      <c r="D571" t="s">
        <v>70</v>
      </c>
      <c r="E571" t="s">
        <v>1217</v>
      </c>
      <c r="F571">
        <v>5</v>
      </c>
      <c r="G571" t="s">
        <v>1249</v>
      </c>
      <c r="H571" t="s">
        <v>1250</v>
      </c>
      <c r="I571" t="s">
        <v>1143</v>
      </c>
      <c r="J571" t="s">
        <v>1150</v>
      </c>
    </row>
    <row r="572" spans="1:10" ht="13" x14ac:dyDescent="0.15">
      <c r="A572">
        <v>571</v>
      </c>
      <c r="B572">
        <v>15</v>
      </c>
      <c r="C572" t="s">
        <v>1307</v>
      </c>
      <c r="D572" t="s">
        <v>535</v>
      </c>
      <c r="E572" t="s">
        <v>1212</v>
      </c>
      <c r="F572" t="s">
        <v>1150</v>
      </c>
      <c r="G572" t="s">
        <v>1249</v>
      </c>
      <c r="H572" t="s">
        <v>1250</v>
      </c>
      <c r="I572" t="s">
        <v>1150</v>
      </c>
      <c r="J572" t="s">
        <v>1150</v>
      </c>
    </row>
    <row r="573" spans="1:10" ht="13" x14ac:dyDescent="0.15">
      <c r="A573">
        <v>572</v>
      </c>
      <c r="B573">
        <v>15</v>
      </c>
      <c r="C573" t="s">
        <v>1135</v>
      </c>
      <c r="D573" t="s">
        <v>67</v>
      </c>
      <c r="E573" t="s">
        <v>1215</v>
      </c>
      <c r="F573">
        <v>11</v>
      </c>
      <c r="G573" t="s">
        <v>1249</v>
      </c>
      <c r="H573" t="s">
        <v>1250</v>
      </c>
      <c r="I573" t="s">
        <v>1142</v>
      </c>
      <c r="J573" t="s">
        <v>1150</v>
      </c>
    </row>
    <row r="574" spans="1:10" ht="13" x14ac:dyDescent="0.15">
      <c r="A574">
        <v>573</v>
      </c>
      <c r="B574">
        <v>15</v>
      </c>
      <c r="C574" t="s">
        <v>1308</v>
      </c>
      <c r="D574" t="s">
        <v>20</v>
      </c>
      <c r="E574" t="s">
        <v>1218</v>
      </c>
      <c r="F574">
        <v>5</v>
      </c>
      <c r="G574" t="s">
        <v>1249</v>
      </c>
      <c r="H574" t="s">
        <v>1250</v>
      </c>
      <c r="I574" t="s">
        <v>1142</v>
      </c>
      <c r="J574" t="s">
        <v>1150</v>
      </c>
    </row>
    <row r="575" spans="1:10" ht="13" x14ac:dyDescent="0.15">
      <c r="A575">
        <v>574</v>
      </c>
      <c r="B575">
        <v>15</v>
      </c>
      <c r="C575" t="s">
        <v>1069</v>
      </c>
      <c r="D575" t="s">
        <v>98</v>
      </c>
      <c r="E575" t="s">
        <v>1290</v>
      </c>
      <c r="F575">
        <v>9</v>
      </c>
      <c r="G575" t="s">
        <v>1249</v>
      </c>
      <c r="H575" t="s">
        <v>1250</v>
      </c>
      <c r="I575" t="s">
        <v>1142</v>
      </c>
      <c r="J575" t="s">
        <v>1150</v>
      </c>
    </row>
    <row r="576" spans="1:10" ht="13" x14ac:dyDescent="0.15">
      <c r="A576">
        <v>575</v>
      </c>
      <c r="B576">
        <v>15</v>
      </c>
      <c r="C576" t="s">
        <v>1230</v>
      </c>
      <c r="D576" t="s">
        <v>26</v>
      </c>
      <c r="E576" t="s">
        <v>1292</v>
      </c>
      <c r="F576">
        <v>6</v>
      </c>
      <c r="G576" t="s">
        <v>1249</v>
      </c>
      <c r="H576" t="s">
        <v>1250</v>
      </c>
      <c r="I576" t="s">
        <v>1142</v>
      </c>
      <c r="J576" t="s">
        <v>1150</v>
      </c>
    </row>
    <row r="577" spans="1:10" ht="13" x14ac:dyDescent="0.15">
      <c r="A577">
        <v>576</v>
      </c>
      <c r="B577">
        <v>15</v>
      </c>
      <c r="C577" t="s">
        <v>1309</v>
      </c>
      <c r="D577" t="s">
        <v>140</v>
      </c>
      <c r="E577" t="s">
        <v>1310</v>
      </c>
      <c r="F577">
        <v>12</v>
      </c>
      <c r="G577" t="s">
        <v>1249</v>
      </c>
      <c r="H577" t="s">
        <v>1250</v>
      </c>
      <c r="I577" t="s">
        <v>1142</v>
      </c>
      <c r="J577" t="s">
        <v>1150</v>
      </c>
    </row>
    <row r="578" spans="1:10" ht="13" x14ac:dyDescent="0.15">
      <c r="A578">
        <v>577</v>
      </c>
      <c r="B578">
        <v>15</v>
      </c>
      <c r="C578" t="s">
        <v>1231</v>
      </c>
      <c r="D578" t="s">
        <v>35</v>
      </c>
      <c r="E578" t="s">
        <v>1311</v>
      </c>
      <c r="F578">
        <v>8</v>
      </c>
      <c r="G578" t="s">
        <v>1249</v>
      </c>
      <c r="H578" t="s">
        <v>1250</v>
      </c>
      <c r="I578" t="s">
        <v>1143</v>
      </c>
      <c r="J578" t="s">
        <v>1150</v>
      </c>
    </row>
    <row r="579" spans="1:10" ht="13" x14ac:dyDescent="0.15">
      <c r="A579">
        <v>578</v>
      </c>
      <c r="B579">
        <v>15</v>
      </c>
      <c r="C579" t="s">
        <v>1136</v>
      </c>
      <c r="D579" t="s">
        <v>79</v>
      </c>
      <c r="E579" t="s">
        <v>1312</v>
      </c>
      <c r="F579">
        <v>8</v>
      </c>
      <c r="G579" t="s">
        <v>1249</v>
      </c>
      <c r="H579" t="s">
        <v>1250</v>
      </c>
      <c r="I579" t="s">
        <v>1145</v>
      </c>
      <c r="J579" t="s">
        <v>1150</v>
      </c>
    </row>
    <row r="580" spans="1:10" ht="13" x14ac:dyDescent="0.15">
      <c r="A580">
        <v>579</v>
      </c>
      <c r="B580">
        <v>15</v>
      </c>
      <c r="C580" t="s">
        <v>1313</v>
      </c>
      <c r="D580" t="s">
        <v>73</v>
      </c>
      <c r="E580" t="s">
        <v>1314</v>
      </c>
      <c r="F580">
        <v>9</v>
      </c>
      <c r="G580" t="s">
        <v>1249</v>
      </c>
      <c r="H580" t="s">
        <v>1250</v>
      </c>
      <c r="I580" t="s">
        <v>1142</v>
      </c>
      <c r="J580" t="s">
        <v>1150</v>
      </c>
    </row>
    <row r="581" spans="1:10" ht="13" x14ac:dyDescent="0.15">
      <c r="A581">
        <v>580</v>
      </c>
      <c r="B581">
        <v>15</v>
      </c>
      <c r="C581" t="s">
        <v>1214</v>
      </c>
      <c r="D581" t="s">
        <v>535</v>
      </c>
      <c r="E581" t="s">
        <v>1315</v>
      </c>
      <c r="F581" t="s">
        <v>1150</v>
      </c>
      <c r="G581" t="s">
        <v>1249</v>
      </c>
      <c r="H581" t="s">
        <v>1250</v>
      </c>
      <c r="I581" t="s">
        <v>1150</v>
      </c>
      <c r="J581" t="s">
        <v>1150</v>
      </c>
    </row>
    <row r="582" spans="1:10" ht="13" x14ac:dyDescent="0.15">
      <c r="A582">
        <v>581</v>
      </c>
      <c r="B582">
        <v>15</v>
      </c>
      <c r="C582" t="s">
        <v>1041</v>
      </c>
      <c r="D582" t="s">
        <v>135</v>
      </c>
      <c r="E582" t="s">
        <v>1220</v>
      </c>
      <c r="F582">
        <v>14</v>
      </c>
      <c r="G582" t="s">
        <v>1249</v>
      </c>
      <c r="H582" t="s">
        <v>1250</v>
      </c>
      <c r="I582" t="s">
        <v>1143</v>
      </c>
      <c r="J582" t="s">
        <v>1150</v>
      </c>
    </row>
    <row r="583" spans="1:10" ht="13" x14ac:dyDescent="0.15">
      <c r="A583">
        <v>582</v>
      </c>
      <c r="B583">
        <v>15</v>
      </c>
      <c r="C583" t="s">
        <v>1277</v>
      </c>
      <c r="D583" t="s">
        <v>122</v>
      </c>
      <c r="E583" t="s">
        <v>1316</v>
      </c>
      <c r="F583">
        <v>11</v>
      </c>
      <c r="G583" t="s">
        <v>1249</v>
      </c>
      <c r="H583" t="s">
        <v>1250</v>
      </c>
      <c r="I583" t="s">
        <v>1142</v>
      </c>
      <c r="J583">
        <v>-194</v>
      </c>
    </row>
    <row r="584" spans="1:10" ht="13" x14ac:dyDescent="0.15">
      <c r="A584">
        <v>583</v>
      </c>
      <c r="B584">
        <v>15</v>
      </c>
      <c r="C584" t="s">
        <v>1104</v>
      </c>
      <c r="D584" t="s">
        <v>55</v>
      </c>
      <c r="E584" t="s">
        <v>1202</v>
      </c>
      <c r="F584">
        <v>7</v>
      </c>
      <c r="G584" t="s">
        <v>1249</v>
      </c>
      <c r="H584" t="s">
        <v>1250</v>
      </c>
      <c r="I584" t="s">
        <v>1142</v>
      </c>
      <c r="J584" t="s">
        <v>1150</v>
      </c>
    </row>
    <row r="585" spans="1:10" ht="13" x14ac:dyDescent="0.15">
      <c r="A585">
        <v>584</v>
      </c>
      <c r="B585">
        <v>15</v>
      </c>
      <c r="C585" t="s">
        <v>1191</v>
      </c>
      <c r="D585" t="s">
        <v>32</v>
      </c>
      <c r="E585" t="s">
        <v>1208</v>
      </c>
      <c r="F585">
        <v>10</v>
      </c>
      <c r="G585" t="s">
        <v>1249</v>
      </c>
      <c r="H585" t="s">
        <v>1250</v>
      </c>
      <c r="I585" t="s">
        <v>1144</v>
      </c>
      <c r="J585">
        <v>-235</v>
      </c>
    </row>
    <row r="586" spans="1:10" ht="13" x14ac:dyDescent="0.15">
      <c r="A586">
        <v>585</v>
      </c>
      <c r="B586">
        <v>15</v>
      </c>
      <c r="C586" t="s">
        <v>1229</v>
      </c>
      <c r="D586" t="s">
        <v>140</v>
      </c>
      <c r="E586" t="s">
        <v>1317</v>
      </c>
      <c r="F586">
        <v>12</v>
      </c>
      <c r="G586" t="s">
        <v>1249</v>
      </c>
      <c r="H586" t="s">
        <v>1250</v>
      </c>
      <c r="I586" t="s">
        <v>1142</v>
      </c>
      <c r="J586" t="s">
        <v>1150</v>
      </c>
    </row>
    <row r="587" spans="1:10" ht="13" x14ac:dyDescent="0.15">
      <c r="A587">
        <v>586</v>
      </c>
      <c r="B587">
        <v>15</v>
      </c>
      <c r="C587" t="s">
        <v>1030</v>
      </c>
      <c r="D587" t="s">
        <v>122</v>
      </c>
      <c r="E587" t="s">
        <v>1216</v>
      </c>
      <c r="F587">
        <v>11</v>
      </c>
      <c r="G587" t="s">
        <v>1249</v>
      </c>
      <c r="H587" t="s">
        <v>1250</v>
      </c>
      <c r="I587" t="s">
        <v>1143</v>
      </c>
      <c r="J587" t="s">
        <v>1150</v>
      </c>
    </row>
    <row r="588" spans="1:10" ht="13" x14ac:dyDescent="0.15">
      <c r="A588">
        <v>587</v>
      </c>
      <c r="B588">
        <v>15</v>
      </c>
      <c r="C588" t="s">
        <v>1201</v>
      </c>
      <c r="D588" t="s">
        <v>535</v>
      </c>
      <c r="E588" t="s">
        <v>1225</v>
      </c>
      <c r="F588" t="s">
        <v>1150</v>
      </c>
      <c r="G588" t="s">
        <v>1249</v>
      </c>
      <c r="H588" t="s">
        <v>1250</v>
      </c>
      <c r="I588" t="s">
        <v>1150</v>
      </c>
      <c r="J588" t="s">
        <v>1150</v>
      </c>
    </row>
    <row r="589" spans="1:10" ht="13" x14ac:dyDescent="0.15">
      <c r="A589">
        <v>588</v>
      </c>
      <c r="B589">
        <v>15</v>
      </c>
      <c r="C589" t="s">
        <v>1287</v>
      </c>
      <c r="D589" t="s">
        <v>98</v>
      </c>
      <c r="E589" t="s">
        <v>1223</v>
      </c>
      <c r="F589">
        <v>9</v>
      </c>
      <c r="G589" t="s">
        <v>1249</v>
      </c>
      <c r="H589" t="s">
        <v>1250</v>
      </c>
      <c r="I589" t="s">
        <v>1145</v>
      </c>
      <c r="J589" t="s">
        <v>1150</v>
      </c>
    </row>
    <row r="590" spans="1:10" ht="13" x14ac:dyDescent="0.15">
      <c r="A590">
        <v>589</v>
      </c>
      <c r="B590">
        <v>15</v>
      </c>
      <c r="C590" t="s">
        <v>1232</v>
      </c>
      <c r="D590" t="s">
        <v>132</v>
      </c>
      <c r="E590" t="s">
        <v>1318</v>
      </c>
      <c r="F590">
        <v>5</v>
      </c>
      <c r="G590" t="s">
        <v>1249</v>
      </c>
      <c r="H590" t="s">
        <v>1250</v>
      </c>
      <c r="I590" t="s">
        <v>1142</v>
      </c>
      <c r="J590" t="s">
        <v>1150</v>
      </c>
    </row>
    <row r="591" spans="1:10" ht="13" x14ac:dyDescent="0.15">
      <c r="A591">
        <v>590</v>
      </c>
      <c r="B591">
        <v>15</v>
      </c>
      <c r="C591" t="s">
        <v>1319</v>
      </c>
      <c r="D591" t="s">
        <v>151</v>
      </c>
      <c r="E591" t="s">
        <v>1320</v>
      </c>
      <c r="F591">
        <v>10</v>
      </c>
      <c r="G591" t="s">
        <v>1249</v>
      </c>
      <c r="H591" t="s">
        <v>1250</v>
      </c>
      <c r="I591" t="s">
        <v>1142</v>
      </c>
      <c r="J591" t="s">
        <v>1150</v>
      </c>
    </row>
    <row r="592" spans="1:10" ht="13" x14ac:dyDescent="0.15">
      <c r="A592">
        <v>591</v>
      </c>
      <c r="B592">
        <v>15</v>
      </c>
      <c r="C592" t="s">
        <v>1028</v>
      </c>
      <c r="D592" t="s">
        <v>122</v>
      </c>
      <c r="E592" t="s">
        <v>1226</v>
      </c>
      <c r="F592">
        <v>11</v>
      </c>
      <c r="G592" t="s">
        <v>1249</v>
      </c>
      <c r="H592" t="s">
        <v>1250</v>
      </c>
      <c r="I592" t="s">
        <v>1143</v>
      </c>
      <c r="J592" t="s">
        <v>1150</v>
      </c>
    </row>
    <row r="593" spans="1:10" ht="13" x14ac:dyDescent="0.15">
      <c r="A593">
        <v>592</v>
      </c>
      <c r="B593">
        <v>15</v>
      </c>
      <c r="C593" t="s">
        <v>1134</v>
      </c>
      <c r="D593" t="s">
        <v>122</v>
      </c>
      <c r="E593" t="s">
        <v>1264</v>
      </c>
      <c r="F593">
        <v>11</v>
      </c>
      <c r="G593" t="s">
        <v>1249</v>
      </c>
      <c r="H593" t="s">
        <v>1250</v>
      </c>
      <c r="I593" t="s">
        <v>1143</v>
      </c>
      <c r="J593" t="s">
        <v>1150</v>
      </c>
    </row>
    <row r="594" spans="1:10" ht="13" x14ac:dyDescent="0.15">
      <c r="A594">
        <v>593</v>
      </c>
      <c r="B594">
        <v>15</v>
      </c>
      <c r="C594" t="s">
        <v>1169</v>
      </c>
      <c r="D594" t="s">
        <v>140</v>
      </c>
      <c r="E594" t="s">
        <v>1196</v>
      </c>
      <c r="F594">
        <v>12</v>
      </c>
      <c r="G594" t="s">
        <v>1249</v>
      </c>
      <c r="H594" t="s">
        <v>1250</v>
      </c>
      <c r="I594" t="s">
        <v>1143</v>
      </c>
      <c r="J594" t="s">
        <v>1150</v>
      </c>
    </row>
    <row r="595" spans="1:10" ht="13" x14ac:dyDescent="0.15">
      <c r="A595">
        <v>594</v>
      </c>
      <c r="B595">
        <v>15</v>
      </c>
      <c r="C595" t="s">
        <v>996</v>
      </c>
      <c r="D595" t="s">
        <v>32</v>
      </c>
      <c r="E595" t="s">
        <v>1321</v>
      </c>
      <c r="F595">
        <v>10</v>
      </c>
      <c r="G595" t="s">
        <v>1249</v>
      </c>
      <c r="H595" t="s">
        <v>1250</v>
      </c>
      <c r="I595" t="s">
        <v>1144</v>
      </c>
      <c r="J595" t="s">
        <v>1150</v>
      </c>
    </row>
    <row r="596" spans="1:10" ht="13" x14ac:dyDescent="0.15">
      <c r="A596">
        <v>595</v>
      </c>
      <c r="B596">
        <v>15</v>
      </c>
      <c r="C596" t="s">
        <v>960</v>
      </c>
      <c r="D596" t="s">
        <v>132</v>
      </c>
      <c r="E596" t="s">
        <v>1222</v>
      </c>
      <c r="F596">
        <v>5</v>
      </c>
      <c r="G596" t="s">
        <v>1249</v>
      </c>
      <c r="H596" t="s">
        <v>1250</v>
      </c>
      <c r="I596" t="s">
        <v>1143</v>
      </c>
      <c r="J596" t="s">
        <v>1150</v>
      </c>
    </row>
    <row r="597" spans="1:10" ht="13" x14ac:dyDescent="0.15">
      <c r="A597">
        <v>596</v>
      </c>
      <c r="B597">
        <v>15</v>
      </c>
      <c r="C597" t="s">
        <v>1322</v>
      </c>
      <c r="D597" t="s">
        <v>17</v>
      </c>
      <c r="E597" t="s">
        <v>1323</v>
      </c>
      <c r="F597">
        <v>10</v>
      </c>
      <c r="G597" t="s">
        <v>1249</v>
      </c>
      <c r="H597" t="s">
        <v>1250</v>
      </c>
      <c r="I597" t="s">
        <v>1144</v>
      </c>
      <c r="J597" t="s">
        <v>1150</v>
      </c>
    </row>
    <row r="598" spans="1:10" ht="13" x14ac:dyDescent="0.15">
      <c r="A598">
        <v>597</v>
      </c>
      <c r="B598">
        <v>15</v>
      </c>
      <c r="C598" t="s">
        <v>1088</v>
      </c>
      <c r="D598" t="s">
        <v>135</v>
      </c>
      <c r="E598" t="s">
        <v>1259</v>
      </c>
      <c r="F598">
        <v>14</v>
      </c>
      <c r="G598" t="s">
        <v>1249</v>
      </c>
      <c r="H598" t="s">
        <v>1250</v>
      </c>
      <c r="I598" t="s">
        <v>1142</v>
      </c>
      <c r="J598" t="s">
        <v>1150</v>
      </c>
    </row>
    <row r="599" spans="1:10" ht="13" x14ac:dyDescent="0.15">
      <c r="A599">
        <v>598</v>
      </c>
      <c r="B599">
        <v>15</v>
      </c>
      <c r="C599" t="s">
        <v>1189</v>
      </c>
      <c r="D599" t="s">
        <v>17</v>
      </c>
      <c r="E599" t="s">
        <v>1266</v>
      </c>
      <c r="F599">
        <v>10</v>
      </c>
      <c r="G599" t="s">
        <v>1249</v>
      </c>
      <c r="H599" t="s">
        <v>1250</v>
      </c>
      <c r="I599" t="s">
        <v>1142</v>
      </c>
      <c r="J599" t="s">
        <v>1150</v>
      </c>
    </row>
    <row r="600" spans="1:10" ht="13" x14ac:dyDescent="0.15">
      <c r="A600">
        <v>599</v>
      </c>
      <c r="B600">
        <v>15</v>
      </c>
      <c r="C600" t="s">
        <v>1118</v>
      </c>
      <c r="D600" t="s">
        <v>122</v>
      </c>
      <c r="E600" t="s">
        <v>1268</v>
      </c>
      <c r="F600">
        <v>11</v>
      </c>
      <c r="G600" t="s">
        <v>1249</v>
      </c>
      <c r="H600" t="s">
        <v>1250</v>
      </c>
      <c r="I600" t="s">
        <v>1143</v>
      </c>
      <c r="J600" t="s">
        <v>1150</v>
      </c>
    </row>
    <row r="601" spans="1:10" ht="13" x14ac:dyDescent="0.15">
      <c r="A601">
        <v>600</v>
      </c>
      <c r="B601">
        <v>15</v>
      </c>
      <c r="C601" t="s">
        <v>1122</v>
      </c>
      <c r="D601" t="s">
        <v>41</v>
      </c>
      <c r="E601" t="s">
        <v>1224</v>
      </c>
      <c r="F601">
        <v>6</v>
      </c>
      <c r="G601" t="s">
        <v>1249</v>
      </c>
      <c r="H601" t="s">
        <v>1250</v>
      </c>
      <c r="I601" t="s">
        <v>1144</v>
      </c>
      <c r="J601" t="s">
        <v>1150</v>
      </c>
    </row>
    <row r="602" spans="1:10" ht="13" x14ac:dyDescent="0.15">
      <c r="A602">
        <v>601</v>
      </c>
      <c r="B602">
        <v>15</v>
      </c>
      <c r="C602" t="s">
        <v>1288</v>
      </c>
      <c r="D602" t="s">
        <v>67</v>
      </c>
      <c r="E602" t="s">
        <v>1263</v>
      </c>
      <c r="F602">
        <v>11</v>
      </c>
      <c r="G602" t="s">
        <v>1249</v>
      </c>
      <c r="H602" t="s">
        <v>1250</v>
      </c>
      <c r="I602" t="s">
        <v>1142</v>
      </c>
      <c r="J602" t="s">
        <v>1150</v>
      </c>
    </row>
    <row r="603" spans="1:10" ht="13" x14ac:dyDescent="0.15">
      <c r="A603">
        <v>602</v>
      </c>
      <c r="B603">
        <v>15</v>
      </c>
      <c r="C603" t="s">
        <v>1204</v>
      </c>
      <c r="D603" t="s">
        <v>151</v>
      </c>
      <c r="E603" t="s">
        <v>1324</v>
      </c>
      <c r="F603">
        <v>10</v>
      </c>
      <c r="G603" t="s">
        <v>1249</v>
      </c>
      <c r="H603" t="s">
        <v>1250</v>
      </c>
      <c r="I603" t="s">
        <v>1142</v>
      </c>
      <c r="J603" t="s">
        <v>1150</v>
      </c>
    </row>
    <row r="604" spans="1:10" ht="13" x14ac:dyDescent="0.15">
      <c r="A604">
        <v>603</v>
      </c>
      <c r="B604">
        <v>15</v>
      </c>
      <c r="C604" t="s">
        <v>1260</v>
      </c>
      <c r="D604" t="s">
        <v>535</v>
      </c>
      <c r="E604" t="s">
        <v>1325</v>
      </c>
      <c r="F604" t="s">
        <v>1150</v>
      </c>
      <c r="G604" t="s">
        <v>1249</v>
      </c>
      <c r="H604" t="s">
        <v>1250</v>
      </c>
      <c r="I604" t="s">
        <v>1150</v>
      </c>
      <c r="J604" t="s">
        <v>1150</v>
      </c>
    </row>
    <row r="605" spans="1:10" ht="13" x14ac:dyDescent="0.15">
      <c r="A605">
        <v>604</v>
      </c>
      <c r="B605">
        <v>15</v>
      </c>
      <c r="C605" t="s">
        <v>1326</v>
      </c>
      <c r="D605" t="s">
        <v>535</v>
      </c>
      <c r="E605" t="s">
        <v>1270</v>
      </c>
      <c r="F605" t="s">
        <v>1150</v>
      </c>
      <c r="G605" t="s">
        <v>1249</v>
      </c>
      <c r="H605" t="s">
        <v>1250</v>
      </c>
      <c r="I605" t="s">
        <v>1150</v>
      </c>
      <c r="J605" t="s">
        <v>1150</v>
      </c>
    </row>
    <row r="606" spans="1:10" ht="13" x14ac:dyDescent="0.15">
      <c r="A606">
        <v>605</v>
      </c>
      <c r="B606">
        <v>15</v>
      </c>
      <c r="C606" t="s">
        <v>1207</v>
      </c>
      <c r="D606" t="s">
        <v>23</v>
      </c>
      <c r="E606" t="s">
        <v>1272</v>
      </c>
      <c r="F606">
        <v>9</v>
      </c>
      <c r="G606" t="s">
        <v>1249</v>
      </c>
      <c r="H606" t="s">
        <v>1250</v>
      </c>
      <c r="I606" t="s">
        <v>1142</v>
      </c>
      <c r="J606" t="s">
        <v>1150</v>
      </c>
    </row>
    <row r="607" spans="1:10" ht="13" x14ac:dyDescent="0.15">
      <c r="A607">
        <v>606</v>
      </c>
      <c r="B607">
        <v>15</v>
      </c>
      <c r="C607" t="s">
        <v>1100</v>
      </c>
      <c r="D607" t="s">
        <v>79</v>
      </c>
      <c r="E607" t="s">
        <v>1273</v>
      </c>
      <c r="F607">
        <v>8</v>
      </c>
      <c r="G607" t="s">
        <v>1249</v>
      </c>
      <c r="H607" t="s">
        <v>1250</v>
      </c>
      <c r="I607" t="s">
        <v>1143</v>
      </c>
      <c r="J607" t="s">
        <v>1150</v>
      </c>
    </row>
    <row r="608" spans="1:10" ht="13" x14ac:dyDescent="0.15">
      <c r="A608">
        <v>607</v>
      </c>
      <c r="B608">
        <v>15</v>
      </c>
      <c r="C608" t="s">
        <v>1261</v>
      </c>
      <c r="D608" t="s">
        <v>151</v>
      </c>
      <c r="E608" t="s">
        <v>1274</v>
      </c>
      <c r="F608">
        <v>10</v>
      </c>
      <c r="G608" t="s">
        <v>1249</v>
      </c>
      <c r="H608" t="s">
        <v>1250</v>
      </c>
      <c r="I608" t="s">
        <v>1142</v>
      </c>
      <c r="J608" t="s">
        <v>1150</v>
      </c>
    </row>
    <row r="609" spans="1:10" ht="13" x14ac:dyDescent="0.15">
      <c r="A609">
        <v>608</v>
      </c>
      <c r="B609">
        <v>15</v>
      </c>
      <c r="C609" t="s">
        <v>1327</v>
      </c>
      <c r="D609" t="s">
        <v>535</v>
      </c>
      <c r="E609" t="s">
        <v>1296</v>
      </c>
      <c r="F609" t="s">
        <v>1150</v>
      </c>
      <c r="G609" t="s">
        <v>1249</v>
      </c>
      <c r="H609" t="s">
        <v>1250</v>
      </c>
      <c r="I609" t="s">
        <v>1150</v>
      </c>
      <c r="J609" t="s">
        <v>1150</v>
      </c>
    </row>
    <row r="610" spans="1:10" ht="13" x14ac:dyDescent="0.15">
      <c r="A610">
        <v>609</v>
      </c>
      <c r="B610">
        <v>15</v>
      </c>
      <c r="C610" t="s">
        <v>1279</v>
      </c>
      <c r="D610" t="s">
        <v>79</v>
      </c>
      <c r="E610" t="s">
        <v>1275</v>
      </c>
      <c r="F610">
        <v>8</v>
      </c>
      <c r="G610" t="s">
        <v>1249</v>
      </c>
      <c r="H610" t="s">
        <v>1250</v>
      </c>
      <c r="I610" t="s">
        <v>1143</v>
      </c>
      <c r="J610" t="s">
        <v>1150</v>
      </c>
    </row>
    <row r="611" spans="1:10" ht="13" x14ac:dyDescent="0.15">
      <c r="A611">
        <v>610</v>
      </c>
      <c r="B611">
        <v>15</v>
      </c>
      <c r="C611" t="s">
        <v>1078</v>
      </c>
      <c r="D611" t="s">
        <v>93</v>
      </c>
      <c r="E611" t="s">
        <v>1328</v>
      </c>
      <c r="F611">
        <v>8</v>
      </c>
      <c r="G611" t="s">
        <v>1249</v>
      </c>
      <c r="H611" t="s">
        <v>1250</v>
      </c>
      <c r="I611" t="s">
        <v>1143</v>
      </c>
      <c r="J611" t="s">
        <v>1150</v>
      </c>
    </row>
    <row r="612" spans="1:10" ht="13" x14ac:dyDescent="0.15">
      <c r="A612">
        <v>611</v>
      </c>
      <c r="B612">
        <v>15</v>
      </c>
      <c r="C612" t="s">
        <v>1329</v>
      </c>
      <c r="D612" t="s">
        <v>535</v>
      </c>
      <c r="E612" t="s">
        <v>1291</v>
      </c>
      <c r="F612" t="s">
        <v>1150</v>
      </c>
      <c r="G612" t="s">
        <v>1249</v>
      </c>
      <c r="H612" t="s">
        <v>1250</v>
      </c>
      <c r="I612" t="s">
        <v>1150</v>
      </c>
      <c r="J612" t="s">
        <v>1150</v>
      </c>
    </row>
    <row r="613" spans="1:10" ht="13" x14ac:dyDescent="0.15">
      <c r="A613">
        <v>612</v>
      </c>
      <c r="B613">
        <v>15</v>
      </c>
      <c r="C613" t="s">
        <v>1188</v>
      </c>
      <c r="D613" t="s">
        <v>535</v>
      </c>
      <c r="E613" t="s">
        <v>1298</v>
      </c>
      <c r="F613" t="s">
        <v>1150</v>
      </c>
      <c r="G613" t="s">
        <v>1249</v>
      </c>
      <c r="H613" t="s">
        <v>1250</v>
      </c>
      <c r="I613" t="s">
        <v>1150</v>
      </c>
      <c r="J613" t="s">
        <v>1150</v>
      </c>
    </row>
    <row r="614" spans="1:10" ht="13" x14ac:dyDescent="0.15">
      <c r="A614">
        <v>613</v>
      </c>
      <c r="B614">
        <v>15</v>
      </c>
      <c r="C614" t="s">
        <v>1262</v>
      </c>
      <c r="D614" t="s">
        <v>535</v>
      </c>
      <c r="E614" t="s">
        <v>1289</v>
      </c>
      <c r="F614" t="s">
        <v>1150</v>
      </c>
      <c r="G614" t="s">
        <v>1249</v>
      </c>
      <c r="H614" t="s">
        <v>1250</v>
      </c>
      <c r="I614" t="s">
        <v>1150</v>
      </c>
      <c r="J614" t="s">
        <v>1150</v>
      </c>
    </row>
    <row r="615" spans="1:10" ht="13" x14ac:dyDescent="0.15">
      <c r="A615">
        <v>614</v>
      </c>
      <c r="B615">
        <v>15</v>
      </c>
      <c r="C615" t="s">
        <v>1271</v>
      </c>
      <c r="D615" t="s">
        <v>29</v>
      </c>
      <c r="E615" t="s">
        <v>1293</v>
      </c>
      <c r="F615">
        <v>8</v>
      </c>
      <c r="G615" t="s">
        <v>1249</v>
      </c>
      <c r="H615" t="s">
        <v>1250</v>
      </c>
      <c r="I615" t="s">
        <v>1142</v>
      </c>
      <c r="J615" t="s">
        <v>1150</v>
      </c>
    </row>
    <row r="616" spans="1:10" ht="13" x14ac:dyDescent="0.15">
      <c r="A616">
        <v>615</v>
      </c>
      <c r="B616">
        <v>15</v>
      </c>
      <c r="C616" t="s">
        <v>1280</v>
      </c>
      <c r="D616" t="s">
        <v>67</v>
      </c>
      <c r="E616" t="s">
        <v>1294</v>
      </c>
      <c r="F616">
        <v>11</v>
      </c>
      <c r="G616" t="s">
        <v>1249</v>
      </c>
      <c r="H616" t="s">
        <v>1250</v>
      </c>
      <c r="I616" t="s">
        <v>1143</v>
      </c>
      <c r="J616" t="s">
        <v>1150</v>
      </c>
    </row>
    <row r="617" spans="1:10" ht="13" x14ac:dyDescent="0.15">
      <c r="A617">
        <v>616</v>
      </c>
      <c r="B617">
        <v>15</v>
      </c>
      <c r="C617" t="s">
        <v>1219</v>
      </c>
      <c r="D617" t="s">
        <v>151</v>
      </c>
      <c r="E617" t="s">
        <v>1299</v>
      </c>
      <c r="F617">
        <v>10</v>
      </c>
      <c r="G617" t="s">
        <v>1249</v>
      </c>
      <c r="H617" t="s">
        <v>1250</v>
      </c>
      <c r="I617" t="s">
        <v>1144</v>
      </c>
      <c r="J617" t="s">
        <v>1150</v>
      </c>
    </row>
    <row r="618" spans="1:10" ht="13" x14ac:dyDescent="0.15">
      <c r="A618">
        <v>617</v>
      </c>
      <c r="B618">
        <v>15</v>
      </c>
      <c r="C618" t="s">
        <v>1092</v>
      </c>
      <c r="D618" t="s">
        <v>20</v>
      </c>
      <c r="E618" t="s">
        <v>1330</v>
      </c>
      <c r="F618">
        <v>5</v>
      </c>
      <c r="G618" t="s">
        <v>1249</v>
      </c>
      <c r="H618" t="s">
        <v>1250</v>
      </c>
      <c r="I618" t="s">
        <v>1142</v>
      </c>
      <c r="J618" t="s">
        <v>1150</v>
      </c>
    </row>
    <row r="619" spans="1:10" ht="13" x14ac:dyDescent="0.15">
      <c r="A619">
        <v>618</v>
      </c>
      <c r="B619">
        <v>15</v>
      </c>
      <c r="C619" t="s">
        <v>1090</v>
      </c>
      <c r="D619" t="s">
        <v>535</v>
      </c>
      <c r="E619" t="s">
        <v>1295</v>
      </c>
      <c r="F619" t="s">
        <v>1150</v>
      </c>
      <c r="G619" t="s">
        <v>1249</v>
      </c>
      <c r="H619" t="s">
        <v>1250</v>
      </c>
      <c r="I619" t="s">
        <v>1150</v>
      </c>
      <c r="J619" t="s">
        <v>1150</v>
      </c>
    </row>
    <row r="620" spans="1:10" ht="13" x14ac:dyDescent="0.15">
      <c r="A620">
        <v>619</v>
      </c>
      <c r="B620">
        <v>15</v>
      </c>
      <c r="C620" t="s">
        <v>1265</v>
      </c>
      <c r="D620" t="s">
        <v>49</v>
      </c>
      <c r="E620" t="s">
        <v>1297</v>
      </c>
      <c r="F620">
        <v>14</v>
      </c>
      <c r="G620" t="s">
        <v>1249</v>
      </c>
      <c r="H620" t="s">
        <v>1250</v>
      </c>
      <c r="I620" t="s">
        <v>1143</v>
      </c>
      <c r="J620" t="s">
        <v>1150</v>
      </c>
    </row>
    <row r="621" spans="1:10" ht="13" x14ac:dyDescent="0.15">
      <c r="A621">
        <v>620</v>
      </c>
      <c r="B621">
        <v>15</v>
      </c>
      <c r="C621" t="s">
        <v>1267</v>
      </c>
      <c r="D621" t="s">
        <v>140</v>
      </c>
      <c r="E621" t="s">
        <v>1300</v>
      </c>
      <c r="F621">
        <v>12</v>
      </c>
      <c r="G621" t="s">
        <v>1249</v>
      </c>
      <c r="H621" t="s">
        <v>1250</v>
      </c>
      <c r="I621" t="s">
        <v>1142</v>
      </c>
      <c r="J621" t="s">
        <v>1150</v>
      </c>
    </row>
    <row r="622" spans="1:10" ht="13" x14ac:dyDescent="0.15">
      <c r="A622">
        <v>621</v>
      </c>
      <c r="B622">
        <v>15</v>
      </c>
      <c r="C622" t="s">
        <v>1269</v>
      </c>
      <c r="D622" t="s">
        <v>29</v>
      </c>
      <c r="E622" t="s">
        <v>1301</v>
      </c>
      <c r="F622">
        <v>8</v>
      </c>
      <c r="G622" t="s">
        <v>1249</v>
      </c>
      <c r="H622" t="s">
        <v>1250</v>
      </c>
      <c r="I622" t="s">
        <v>1142</v>
      </c>
      <c r="J622" t="s">
        <v>1150</v>
      </c>
    </row>
    <row r="623" spans="1:10" ht="13" x14ac:dyDescent="0.15">
      <c r="A623">
        <v>622</v>
      </c>
      <c r="B623">
        <v>15</v>
      </c>
      <c r="C623" t="s">
        <v>1110</v>
      </c>
      <c r="D623" t="s">
        <v>70</v>
      </c>
      <c r="E623" t="s">
        <v>1331</v>
      </c>
      <c r="F623">
        <v>5</v>
      </c>
      <c r="G623" t="s">
        <v>1249</v>
      </c>
      <c r="H623" t="s">
        <v>1250</v>
      </c>
      <c r="I623" t="s">
        <v>1144</v>
      </c>
      <c r="J623" t="s">
        <v>1150</v>
      </c>
    </row>
    <row r="624" spans="1:10" ht="13" x14ac:dyDescent="0.15">
      <c r="A624">
        <v>623</v>
      </c>
      <c r="B624">
        <v>15</v>
      </c>
      <c r="C624" t="s">
        <v>1332</v>
      </c>
      <c r="D624" t="s">
        <v>535</v>
      </c>
      <c r="E624" t="s">
        <v>1333</v>
      </c>
      <c r="F624" t="s">
        <v>1150</v>
      </c>
      <c r="G624" t="s">
        <v>1249</v>
      </c>
      <c r="H624" t="s">
        <v>1250</v>
      </c>
      <c r="I624" t="s">
        <v>1150</v>
      </c>
      <c r="J624" t="s">
        <v>1150</v>
      </c>
    </row>
    <row r="625" spans="1:10" ht="13" x14ac:dyDescent="0.15">
      <c r="A625">
        <v>624</v>
      </c>
      <c r="B625">
        <v>16</v>
      </c>
      <c r="C625" t="s">
        <v>1235</v>
      </c>
      <c r="D625" t="s">
        <v>67</v>
      </c>
      <c r="E625" t="s">
        <v>1334</v>
      </c>
      <c r="F625">
        <v>11</v>
      </c>
      <c r="G625" t="s">
        <v>1249</v>
      </c>
      <c r="H625" t="s">
        <v>1250</v>
      </c>
      <c r="I625" t="s">
        <v>1143</v>
      </c>
      <c r="J625" t="s">
        <v>1150</v>
      </c>
    </row>
    <row r="626" spans="1:10" ht="13" x14ac:dyDescent="0.15">
      <c r="A626">
        <v>625</v>
      </c>
      <c r="B626">
        <v>16</v>
      </c>
      <c r="C626" t="s">
        <v>1335</v>
      </c>
      <c r="D626" t="s">
        <v>41</v>
      </c>
      <c r="E626" t="s">
        <v>1336</v>
      </c>
      <c r="F626">
        <v>6</v>
      </c>
      <c r="G626" t="s">
        <v>1249</v>
      </c>
      <c r="H626" t="s">
        <v>1250</v>
      </c>
      <c r="I626" t="s">
        <v>1143</v>
      </c>
      <c r="J626" t="s">
        <v>1150</v>
      </c>
    </row>
    <row r="627" spans="1:10" ht="13" x14ac:dyDescent="0.15">
      <c r="A627">
        <v>626</v>
      </c>
      <c r="B627">
        <v>16</v>
      </c>
      <c r="C627" t="s">
        <v>1084</v>
      </c>
      <c r="D627" t="s">
        <v>125</v>
      </c>
      <c r="E627" t="s">
        <v>1337</v>
      </c>
      <c r="F627">
        <v>5</v>
      </c>
      <c r="G627" t="s">
        <v>1249</v>
      </c>
      <c r="H627" t="s">
        <v>1250</v>
      </c>
      <c r="I627" t="s">
        <v>1143</v>
      </c>
      <c r="J627" t="s">
        <v>1150</v>
      </c>
    </row>
    <row r="628" spans="1:10" ht="13" x14ac:dyDescent="0.15">
      <c r="A628">
        <v>627</v>
      </c>
      <c r="B628">
        <v>16</v>
      </c>
      <c r="C628" t="s">
        <v>1051</v>
      </c>
      <c r="D628" t="s">
        <v>41</v>
      </c>
      <c r="E628" t="s">
        <v>1338</v>
      </c>
      <c r="F628">
        <v>6</v>
      </c>
      <c r="G628" t="s">
        <v>1249</v>
      </c>
      <c r="H628" t="s">
        <v>1250</v>
      </c>
      <c r="I628" t="s">
        <v>1144</v>
      </c>
      <c r="J628" t="s">
        <v>1150</v>
      </c>
    </row>
    <row r="629" spans="1:10" ht="13" x14ac:dyDescent="0.15">
      <c r="A629">
        <v>628</v>
      </c>
      <c r="B629">
        <v>16</v>
      </c>
      <c r="C629" t="s">
        <v>1014</v>
      </c>
      <c r="D629" t="s">
        <v>35</v>
      </c>
      <c r="E629" t="s">
        <v>1339</v>
      </c>
      <c r="F629">
        <v>8</v>
      </c>
      <c r="G629" t="s">
        <v>1249</v>
      </c>
      <c r="H629" t="s">
        <v>1250</v>
      </c>
      <c r="I629" t="s">
        <v>1142</v>
      </c>
      <c r="J629" t="s">
        <v>1150</v>
      </c>
    </row>
    <row r="630" spans="1:10" ht="13" x14ac:dyDescent="0.15">
      <c r="A630">
        <v>629</v>
      </c>
      <c r="B630">
        <v>16</v>
      </c>
      <c r="C630" t="s">
        <v>1106</v>
      </c>
      <c r="D630" t="s">
        <v>26</v>
      </c>
      <c r="E630" t="s">
        <v>1340</v>
      </c>
      <c r="F630">
        <v>6</v>
      </c>
      <c r="G630" t="s">
        <v>1249</v>
      </c>
      <c r="H630" t="s">
        <v>1250</v>
      </c>
      <c r="I630" t="s">
        <v>1144</v>
      </c>
      <c r="J630" t="s">
        <v>1150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01"/>
  <sheetViews>
    <sheetView topLeftCell="A138" workbookViewId="0">
      <selection activeCell="B145" sqref="B145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21.1640625" bestFit="1" customWidth="1"/>
  </cols>
  <sheetData>
    <row r="1" spans="1:2" ht="13" x14ac:dyDescent="0.15">
      <c r="A1" t="s">
        <v>1124</v>
      </c>
      <c r="B1" t="s">
        <v>1125</v>
      </c>
    </row>
    <row r="2" spans="1:2" ht="13" x14ac:dyDescent="0.15">
      <c r="A2">
        <v>1</v>
      </c>
      <c r="B2" t="s">
        <v>16</v>
      </c>
    </row>
    <row r="3" spans="1:2" ht="13" x14ac:dyDescent="0.15">
      <c r="A3">
        <v>2</v>
      </c>
      <c r="B3" t="s">
        <v>19</v>
      </c>
    </row>
    <row r="4" spans="1:2" ht="13" x14ac:dyDescent="0.15">
      <c r="A4">
        <v>3</v>
      </c>
      <c r="B4" t="s">
        <v>25</v>
      </c>
    </row>
    <row r="5" spans="1:2" ht="13" x14ac:dyDescent="0.15">
      <c r="A5">
        <v>4</v>
      </c>
      <c r="B5" t="s">
        <v>22</v>
      </c>
    </row>
    <row r="6" spans="1:2" ht="13" x14ac:dyDescent="0.15">
      <c r="A6">
        <v>5</v>
      </c>
      <c r="B6" t="s">
        <v>28</v>
      </c>
    </row>
    <row r="7" spans="1:2" ht="13" x14ac:dyDescent="0.15">
      <c r="A7">
        <v>6</v>
      </c>
      <c r="B7" t="s">
        <v>48</v>
      </c>
    </row>
    <row r="8" spans="1:2" ht="13" x14ac:dyDescent="0.15">
      <c r="A8">
        <v>7</v>
      </c>
      <c r="B8" t="s">
        <v>31</v>
      </c>
    </row>
    <row r="9" spans="1:2" ht="13" x14ac:dyDescent="0.15">
      <c r="A9">
        <v>8</v>
      </c>
      <c r="B9" t="s">
        <v>37</v>
      </c>
    </row>
    <row r="10" spans="1:2" ht="13" x14ac:dyDescent="0.15">
      <c r="A10">
        <v>9</v>
      </c>
      <c r="B10" t="s">
        <v>34</v>
      </c>
    </row>
    <row r="11" spans="1:2" ht="13" x14ac:dyDescent="0.15">
      <c r="A11">
        <v>10</v>
      </c>
      <c r="B11" t="s">
        <v>51</v>
      </c>
    </row>
    <row r="12" spans="1:2" ht="13" x14ac:dyDescent="0.15">
      <c r="A12">
        <v>11</v>
      </c>
      <c r="B12" t="s">
        <v>43</v>
      </c>
    </row>
    <row r="13" spans="1:2" ht="13" x14ac:dyDescent="0.15">
      <c r="A13">
        <v>12</v>
      </c>
      <c r="B13" t="s">
        <v>57</v>
      </c>
    </row>
    <row r="14" spans="1:2" ht="13" x14ac:dyDescent="0.15">
      <c r="A14">
        <v>13</v>
      </c>
      <c r="B14" t="s">
        <v>40</v>
      </c>
    </row>
    <row r="15" spans="1:2" ht="13" x14ac:dyDescent="0.15">
      <c r="A15">
        <v>14</v>
      </c>
      <c r="B15" t="s">
        <v>45</v>
      </c>
    </row>
    <row r="16" spans="1:2" ht="13" x14ac:dyDescent="0.15">
      <c r="A16">
        <v>15</v>
      </c>
      <c r="B16" t="s">
        <v>64</v>
      </c>
    </row>
    <row r="17" spans="1:2" ht="13" x14ac:dyDescent="0.15">
      <c r="A17">
        <v>16</v>
      </c>
      <c r="B17" t="s">
        <v>60</v>
      </c>
    </row>
    <row r="18" spans="1:2" ht="13" x14ac:dyDescent="0.15">
      <c r="A18">
        <v>17</v>
      </c>
      <c r="B18" t="s">
        <v>66</v>
      </c>
    </row>
    <row r="19" spans="1:2" ht="13" x14ac:dyDescent="0.15">
      <c r="A19">
        <v>18</v>
      </c>
      <c r="B19" t="s">
        <v>69</v>
      </c>
    </row>
    <row r="20" spans="1:2" ht="13" x14ac:dyDescent="0.15">
      <c r="A20">
        <v>19</v>
      </c>
      <c r="B20" t="s">
        <v>54</v>
      </c>
    </row>
    <row r="21" spans="1:2" ht="13" x14ac:dyDescent="0.15">
      <c r="A21">
        <v>20</v>
      </c>
      <c r="B21" t="s">
        <v>62</v>
      </c>
    </row>
    <row r="22" spans="1:2" ht="13" x14ac:dyDescent="0.15">
      <c r="A22">
        <v>21</v>
      </c>
      <c r="B22" t="s">
        <v>78</v>
      </c>
    </row>
    <row r="23" spans="1:2" ht="13" x14ac:dyDescent="0.15">
      <c r="A23">
        <v>22</v>
      </c>
      <c r="B23" t="s">
        <v>72</v>
      </c>
    </row>
    <row r="24" spans="1:2" ht="13" x14ac:dyDescent="0.15">
      <c r="A24">
        <v>23</v>
      </c>
      <c r="B24" t="s">
        <v>81</v>
      </c>
    </row>
    <row r="25" spans="1:2" ht="13" x14ac:dyDescent="0.15">
      <c r="A25">
        <v>24</v>
      </c>
      <c r="B25" t="s">
        <v>90</v>
      </c>
    </row>
    <row r="26" spans="1:2" ht="13" x14ac:dyDescent="0.15">
      <c r="A26">
        <v>25</v>
      </c>
      <c r="B26" t="s">
        <v>95</v>
      </c>
    </row>
    <row r="27" spans="1:2" ht="13" x14ac:dyDescent="0.15">
      <c r="A27">
        <v>26</v>
      </c>
      <c r="B27" t="s">
        <v>75</v>
      </c>
    </row>
    <row r="28" spans="1:2" ht="13" x14ac:dyDescent="0.15">
      <c r="A28">
        <v>27</v>
      </c>
      <c r="B28" t="s">
        <v>105</v>
      </c>
    </row>
    <row r="29" spans="1:2" ht="13" x14ac:dyDescent="0.15">
      <c r="A29">
        <v>28</v>
      </c>
      <c r="B29" t="s">
        <v>83</v>
      </c>
    </row>
    <row r="30" spans="1:2" ht="13" x14ac:dyDescent="0.15">
      <c r="A30">
        <v>29</v>
      </c>
      <c r="B30" t="s">
        <v>86</v>
      </c>
    </row>
    <row r="31" spans="1:2" ht="13" x14ac:dyDescent="0.15">
      <c r="A31">
        <v>30</v>
      </c>
      <c r="B31" t="s">
        <v>102</v>
      </c>
    </row>
    <row r="32" spans="1:2" ht="13" x14ac:dyDescent="0.15">
      <c r="A32">
        <v>31</v>
      </c>
      <c r="B32" t="s">
        <v>111</v>
      </c>
    </row>
    <row r="33" spans="1:2" ht="13" x14ac:dyDescent="0.15">
      <c r="A33">
        <v>32</v>
      </c>
      <c r="B33" t="s">
        <v>88</v>
      </c>
    </row>
    <row r="34" spans="1:2" ht="13" x14ac:dyDescent="0.15">
      <c r="A34">
        <v>33</v>
      </c>
      <c r="B34" t="s">
        <v>113</v>
      </c>
    </row>
    <row r="35" spans="1:2" ht="13" x14ac:dyDescent="0.15">
      <c r="A35">
        <v>34</v>
      </c>
      <c r="B35" t="s">
        <v>92</v>
      </c>
    </row>
    <row r="36" spans="1:2" ht="13" x14ac:dyDescent="0.15">
      <c r="A36">
        <v>35</v>
      </c>
      <c r="B36" t="s">
        <v>117</v>
      </c>
    </row>
    <row r="37" spans="1:2" ht="13" x14ac:dyDescent="0.15">
      <c r="A37">
        <v>36</v>
      </c>
      <c r="B37" t="s">
        <v>97</v>
      </c>
    </row>
    <row r="38" spans="1:2" ht="13" x14ac:dyDescent="0.15">
      <c r="A38">
        <v>37</v>
      </c>
      <c r="B38" t="s">
        <v>127</v>
      </c>
    </row>
    <row r="39" spans="1:2" ht="13" x14ac:dyDescent="0.15">
      <c r="A39">
        <v>38</v>
      </c>
      <c r="B39" t="s">
        <v>121</v>
      </c>
    </row>
    <row r="40" spans="1:2" ht="13" x14ac:dyDescent="0.15">
      <c r="A40">
        <v>39</v>
      </c>
      <c r="B40" t="s">
        <v>129</v>
      </c>
    </row>
    <row r="41" spans="1:2" ht="13" x14ac:dyDescent="0.15">
      <c r="A41">
        <v>40</v>
      </c>
      <c r="B41" t="s">
        <v>100</v>
      </c>
    </row>
    <row r="42" spans="1:2" ht="13" x14ac:dyDescent="0.15">
      <c r="A42">
        <v>41</v>
      </c>
      <c r="B42" t="s">
        <v>134</v>
      </c>
    </row>
    <row r="43" spans="1:2" ht="13" x14ac:dyDescent="0.15">
      <c r="A43">
        <v>42</v>
      </c>
      <c r="B43" t="s">
        <v>137</v>
      </c>
    </row>
    <row r="44" spans="1:2" ht="13" x14ac:dyDescent="0.15">
      <c r="A44">
        <v>43</v>
      </c>
      <c r="B44" t="s">
        <v>170</v>
      </c>
    </row>
    <row r="45" spans="1:2" ht="13" x14ac:dyDescent="0.15">
      <c r="A45">
        <v>44</v>
      </c>
      <c r="B45" t="s">
        <v>115</v>
      </c>
    </row>
    <row r="46" spans="1:2" ht="13" x14ac:dyDescent="0.15">
      <c r="A46">
        <v>45</v>
      </c>
      <c r="B46" t="s">
        <v>119</v>
      </c>
    </row>
    <row r="47" spans="1:2" ht="13" x14ac:dyDescent="0.15">
      <c r="A47">
        <v>46</v>
      </c>
      <c r="B47" t="s">
        <v>131</v>
      </c>
    </row>
    <row r="48" spans="1:2" ht="13" x14ac:dyDescent="0.15">
      <c r="A48">
        <v>47</v>
      </c>
      <c r="B48" t="s">
        <v>161</v>
      </c>
    </row>
    <row r="49" spans="1:2" ht="13" x14ac:dyDescent="0.15">
      <c r="A49">
        <v>48</v>
      </c>
      <c r="B49" t="s">
        <v>150</v>
      </c>
    </row>
    <row r="50" spans="1:2" ht="13" x14ac:dyDescent="0.15">
      <c r="A50">
        <v>49</v>
      </c>
      <c r="B50" t="s">
        <v>107</v>
      </c>
    </row>
    <row r="51" spans="1:2" ht="13" x14ac:dyDescent="0.15">
      <c r="A51">
        <v>50</v>
      </c>
      <c r="B51" t="s">
        <v>124</v>
      </c>
    </row>
    <row r="52" spans="1:2" ht="13" x14ac:dyDescent="0.15">
      <c r="A52">
        <v>51</v>
      </c>
      <c r="B52" t="s">
        <v>109</v>
      </c>
    </row>
    <row r="53" spans="1:2" ht="13" x14ac:dyDescent="0.15">
      <c r="A53">
        <v>52</v>
      </c>
      <c r="B53" t="s">
        <v>155</v>
      </c>
    </row>
    <row r="54" spans="1:2" ht="13" x14ac:dyDescent="0.15">
      <c r="A54">
        <v>53</v>
      </c>
      <c r="B54" t="s">
        <v>144</v>
      </c>
    </row>
    <row r="55" spans="1:2" ht="13" x14ac:dyDescent="0.15">
      <c r="A55">
        <v>54</v>
      </c>
      <c r="B55" t="s">
        <v>139</v>
      </c>
    </row>
    <row r="56" spans="1:2" ht="13" x14ac:dyDescent="0.15">
      <c r="A56">
        <v>55</v>
      </c>
      <c r="B56" t="s">
        <v>163</v>
      </c>
    </row>
    <row r="57" spans="1:2" ht="13" x14ac:dyDescent="0.15">
      <c r="A57">
        <v>56</v>
      </c>
      <c r="B57" t="s">
        <v>142</v>
      </c>
    </row>
    <row r="58" spans="1:2" ht="13" x14ac:dyDescent="0.15">
      <c r="A58">
        <v>57</v>
      </c>
      <c r="B58" t="s">
        <v>157</v>
      </c>
    </row>
    <row r="59" spans="1:2" ht="13" x14ac:dyDescent="0.15">
      <c r="A59">
        <v>58</v>
      </c>
      <c r="B59" t="s">
        <v>193</v>
      </c>
    </row>
    <row r="60" spans="1:2" ht="13" x14ac:dyDescent="0.15">
      <c r="A60">
        <v>59</v>
      </c>
      <c r="B60" t="s">
        <v>146</v>
      </c>
    </row>
    <row r="61" spans="1:2" ht="13" x14ac:dyDescent="0.15">
      <c r="A61">
        <v>60</v>
      </c>
      <c r="B61" t="s">
        <v>153</v>
      </c>
    </row>
    <row r="62" spans="1:2" ht="13" x14ac:dyDescent="0.15">
      <c r="A62">
        <v>61</v>
      </c>
      <c r="B62" t="s">
        <v>159</v>
      </c>
    </row>
    <row r="63" spans="1:2" ht="13" x14ac:dyDescent="0.15">
      <c r="A63">
        <v>62</v>
      </c>
      <c r="B63" s="3" t="s">
        <v>173</v>
      </c>
    </row>
    <row r="64" spans="1:2" ht="13" x14ac:dyDescent="0.15">
      <c r="A64">
        <v>63</v>
      </c>
      <c r="B64" t="s">
        <v>185</v>
      </c>
    </row>
    <row r="65" spans="1:2" ht="13" x14ac:dyDescent="0.15">
      <c r="A65">
        <v>64</v>
      </c>
      <c r="B65" t="s">
        <v>168</v>
      </c>
    </row>
    <row r="66" spans="1:2" ht="13" x14ac:dyDescent="0.15">
      <c r="A66">
        <v>65</v>
      </c>
      <c r="B66" t="s">
        <v>200</v>
      </c>
    </row>
    <row r="67" spans="1:2" ht="13" x14ac:dyDescent="0.15">
      <c r="A67">
        <v>66</v>
      </c>
      <c r="B67" t="s">
        <v>191</v>
      </c>
    </row>
    <row r="68" spans="1:2" ht="13" x14ac:dyDescent="0.15">
      <c r="A68">
        <v>67</v>
      </c>
      <c r="B68" t="s">
        <v>175</v>
      </c>
    </row>
    <row r="69" spans="1:2" ht="13" x14ac:dyDescent="0.15">
      <c r="A69">
        <v>68</v>
      </c>
      <c r="B69" t="s">
        <v>148</v>
      </c>
    </row>
    <row r="70" spans="1:2" ht="13" x14ac:dyDescent="0.15">
      <c r="A70">
        <v>69</v>
      </c>
      <c r="B70" t="s">
        <v>187</v>
      </c>
    </row>
    <row r="71" spans="1:2" ht="13" x14ac:dyDescent="0.15">
      <c r="A71">
        <v>70</v>
      </c>
      <c r="B71" t="s">
        <v>166</v>
      </c>
    </row>
    <row r="72" spans="1:2" ht="13" x14ac:dyDescent="0.15">
      <c r="A72">
        <v>71</v>
      </c>
      <c r="B72" t="s">
        <v>177</v>
      </c>
    </row>
    <row r="73" spans="1:2" ht="13" x14ac:dyDescent="0.15">
      <c r="A73">
        <v>72</v>
      </c>
      <c r="B73" t="s">
        <v>179</v>
      </c>
    </row>
    <row r="74" spans="1:2" ht="13" x14ac:dyDescent="0.15">
      <c r="A74">
        <v>73</v>
      </c>
      <c r="B74" s="3" t="s">
        <v>210</v>
      </c>
    </row>
    <row r="75" spans="1:2" ht="13" x14ac:dyDescent="0.15">
      <c r="A75">
        <v>74</v>
      </c>
      <c r="B75" t="s">
        <v>303</v>
      </c>
    </row>
    <row r="76" spans="1:2" ht="13" x14ac:dyDescent="0.15">
      <c r="A76">
        <v>75</v>
      </c>
      <c r="B76" t="s">
        <v>287</v>
      </c>
    </row>
    <row r="77" spans="1:2" ht="13" x14ac:dyDescent="0.15">
      <c r="A77">
        <v>76</v>
      </c>
      <c r="B77" t="s">
        <v>181</v>
      </c>
    </row>
    <row r="78" spans="1:2" ht="13" x14ac:dyDescent="0.15">
      <c r="A78">
        <v>77</v>
      </c>
      <c r="B78" t="s">
        <v>243</v>
      </c>
    </row>
    <row r="79" spans="1:2" ht="13" x14ac:dyDescent="0.15">
      <c r="A79">
        <v>78</v>
      </c>
      <c r="B79" t="s">
        <v>271</v>
      </c>
    </row>
    <row r="80" spans="1:2" ht="13" x14ac:dyDescent="0.15">
      <c r="A80">
        <v>79</v>
      </c>
      <c r="B80" t="s">
        <v>227</v>
      </c>
    </row>
    <row r="81" spans="1:2" ht="13" x14ac:dyDescent="0.15">
      <c r="A81">
        <v>80</v>
      </c>
      <c r="B81" t="s">
        <v>223</v>
      </c>
    </row>
    <row r="82" spans="1:2" ht="13" x14ac:dyDescent="0.15">
      <c r="A82">
        <v>81</v>
      </c>
      <c r="B82" t="s">
        <v>213</v>
      </c>
    </row>
    <row r="83" spans="1:2" ht="13" x14ac:dyDescent="0.15">
      <c r="A83">
        <v>82</v>
      </c>
      <c r="B83" t="s">
        <v>638</v>
      </c>
    </row>
    <row r="84" spans="1:2" ht="13" x14ac:dyDescent="0.15">
      <c r="A84">
        <v>83</v>
      </c>
      <c r="B84" t="s">
        <v>206</v>
      </c>
    </row>
    <row r="85" spans="1:2" ht="13" x14ac:dyDescent="0.15">
      <c r="A85">
        <v>84</v>
      </c>
      <c r="B85" t="s">
        <v>215</v>
      </c>
    </row>
    <row r="86" spans="1:2" ht="13" x14ac:dyDescent="0.15">
      <c r="A86">
        <v>85</v>
      </c>
      <c r="B86" t="s">
        <v>204</v>
      </c>
    </row>
    <row r="87" spans="1:2" ht="13" x14ac:dyDescent="0.15">
      <c r="A87">
        <v>86</v>
      </c>
      <c r="B87" t="s">
        <v>219</v>
      </c>
    </row>
    <row r="88" spans="1:2" ht="13" x14ac:dyDescent="0.15">
      <c r="A88">
        <v>87</v>
      </c>
      <c r="B88" t="s">
        <v>198</v>
      </c>
    </row>
    <row r="89" spans="1:2" ht="13" x14ac:dyDescent="0.15">
      <c r="A89">
        <v>88</v>
      </c>
      <c r="B89" t="s">
        <v>202</v>
      </c>
    </row>
    <row r="90" spans="1:2" ht="13" x14ac:dyDescent="0.15">
      <c r="A90">
        <v>89</v>
      </c>
      <c r="B90" t="s">
        <v>225</v>
      </c>
    </row>
    <row r="91" spans="1:2" ht="13" x14ac:dyDescent="0.15">
      <c r="A91">
        <v>90</v>
      </c>
      <c r="B91" t="s">
        <v>307</v>
      </c>
    </row>
    <row r="92" spans="1:2" ht="13" x14ac:dyDescent="0.15">
      <c r="A92">
        <v>91</v>
      </c>
      <c r="B92" t="s">
        <v>297</v>
      </c>
    </row>
    <row r="93" spans="1:2" ht="13" x14ac:dyDescent="0.15">
      <c r="A93">
        <v>92</v>
      </c>
      <c r="B93" t="s">
        <v>259</v>
      </c>
    </row>
    <row r="94" spans="1:2" ht="13" x14ac:dyDescent="0.15">
      <c r="A94">
        <v>93</v>
      </c>
      <c r="B94" t="s">
        <v>251</v>
      </c>
    </row>
    <row r="95" spans="1:2" ht="13" x14ac:dyDescent="0.15">
      <c r="A95">
        <v>94</v>
      </c>
      <c r="B95" t="s">
        <v>189</v>
      </c>
    </row>
    <row r="96" spans="1:2" ht="13" x14ac:dyDescent="0.15">
      <c r="A96">
        <v>95</v>
      </c>
      <c r="B96" t="s">
        <v>261</v>
      </c>
    </row>
    <row r="97" spans="1:2" ht="13" x14ac:dyDescent="0.15">
      <c r="A97">
        <v>96</v>
      </c>
      <c r="B97" t="s">
        <v>267</v>
      </c>
    </row>
    <row r="98" spans="1:2" ht="13" x14ac:dyDescent="0.15">
      <c r="A98">
        <v>97</v>
      </c>
      <c r="B98" t="s">
        <v>208</v>
      </c>
    </row>
    <row r="99" spans="1:2" ht="13" x14ac:dyDescent="0.15">
      <c r="A99">
        <v>98</v>
      </c>
      <c r="B99" s="3" t="s">
        <v>221</v>
      </c>
    </row>
    <row r="100" spans="1:2" ht="13" x14ac:dyDescent="0.15">
      <c r="A100">
        <v>99</v>
      </c>
      <c r="B100" t="s">
        <v>241</v>
      </c>
    </row>
    <row r="101" spans="1:2" ht="13" x14ac:dyDescent="0.15">
      <c r="A101">
        <v>100</v>
      </c>
      <c r="B101" t="s">
        <v>231</v>
      </c>
    </row>
    <row r="102" spans="1:2" ht="13" x14ac:dyDescent="0.15">
      <c r="A102">
        <v>101</v>
      </c>
      <c r="B102" t="s">
        <v>305</v>
      </c>
    </row>
    <row r="103" spans="1:2" ht="13" x14ac:dyDescent="0.15">
      <c r="A103">
        <v>102</v>
      </c>
      <c r="B103" t="s">
        <v>1146</v>
      </c>
    </row>
    <row r="104" spans="1:2" ht="13" x14ac:dyDescent="0.15">
      <c r="A104">
        <v>103</v>
      </c>
      <c r="B104" t="s">
        <v>237</v>
      </c>
    </row>
    <row r="105" spans="1:2" ht="13" x14ac:dyDescent="0.15">
      <c r="A105">
        <v>104</v>
      </c>
      <c r="B105" t="s">
        <v>239</v>
      </c>
    </row>
    <row r="106" spans="1:2" ht="13" x14ac:dyDescent="0.15">
      <c r="A106">
        <v>105</v>
      </c>
      <c r="B106" t="s">
        <v>255</v>
      </c>
    </row>
    <row r="107" spans="1:2" ht="13" x14ac:dyDescent="0.15">
      <c r="A107">
        <v>106</v>
      </c>
      <c r="B107" t="s">
        <v>229</v>
      </c>
    </row>
    <row r="108" spans="1:2" ht="13" x14ac:dyDescent="0.15">
      <c r="A108">
        <v>107</v>
      </c>
      <c r="B108" t="s">
        <v>247</v>
      </c>
    </row>
    <row r="109" spans="1:2" ht="13" x14ac:dyDescent="0.15">
      <c r="A109">
        <v>108</v>
      </c>
      <c r="B109" t="s">
        <v>235</v>
      </c>
    </row>
    <row r="110" spans="1:2" ht="13" x14ac:dyDescent="0.15">
      <c r="A110">
        <v>109</v>
      </c>
      <c r="B110" t="s">
        <v>534</v>
      </c>
    </row>
    <row r="111" spans="1:2" ht="13" x14ac:dyDescent="0.15">
      <c r="A111">
        <v>110</v>
      </c>
      <c r="B111" t="s">
        <v>283</v>
      </c>
    </row>
    <row r="112" spans="1:2" ht="13" x14ac:dyDescent="0.15">
      <c r="A112">
        <v>111</v>
      </c>
      <c r="B112" t="s">
        <v>301</v>
      </c>
    </row>
    <row r="113" spans="1:2" ht="13" x14ac:dyDescent="0.15">
      <c r="A113">
        <v>112</v>
      </c>
      <c r="B113" t="s">
        <v>387</v>
      </c>
    </row>
    <row r="114" spans="1:2" ht="13" x14ac:dyDescent="0.15">
      <c r="A114">
        <v>113</v>
      </c>
      <c r="B114" t="s">
        <v>291</v>
      </c>
    </row>
    <row r="115" spans="1:2" ht="13" x14ac:dyDescent="0.15">
      <c r="A115">
        <v>114</v>
      </c>
      <c r="B115" t="s">
        <v>253</v>
      </c>
    </row>
    <row r="116" spans="1:2" ht="13" x14ac:dyDescent="0.15">
      <c r="A116">
        <v>115</v>
      </c>
      <c r="B116" t="s">
        <v>233</v>
      </c>
    </row>
    <row r="117" spans="1:2" ht="13" x14ac:dyDescent="0.15">
      <c r="A117">
        <v>116</v>
      </c>
      <c r="B117" t="s">
        <v>277</v>
      </c>
    </row>
    <row r="118" spans="1:2" ht="13" x14ac:dyDescent="0.15">
      <c r="A118">
        <v>117</v>
      </c>
      <c r="B118" t="s">
        <v>373</v>
      </c>
    </row>
    <row r="119" spans="1:2" ht="13" x14ac:dyDescent="0.15">
      <c r="A119">
        <v>118</v>
      </c>
      <c r="B119" t="s">
        <v>263</v>
      </c>
    </row>
    <row r="120" spans="1:2" ht="13" x14ac:dyDescent="0.15">
      <c r="A120">
        <v>119</v>
      </c>
      <c r="B120" t="s">
        <v>359</v>
      </c>
    </row>
    <row r="121" spans="1:2" ht="13" x14ac:dyDescent="0.15">
      <c r="A121">
        <v>120</v>
      </c>
      <c r="B121" t="s">
        <v>319</v>
      </c>
    </row>
    <row r="122" spans="1:2" ht="13" x14ac:dyDescent="0.15">
      <c r="A122">
        <v>121</v>
      </c>
      <c r="B122" t="s">
        <v>217</v>
      </c>
    </row>
    <row r="123" spans="1:2" ht="13" x14ac:dyDescent="0.15">
      <c r="A123">
        <v>122</v>
      </c>
      <c r="B123" t="s">
        <v>257</v>
      </c>
    </row>
    <row r="124" spans="1:2" ht="13" x14ac:dyDescent="0.15">
      <c r="A124">
        <v>123</v>
      </c>
      <c r="B124" t="s">
        <v>299</v>
      </c>
    </row>
    <row r="125" spans="1:2" ht="13" x14ac:dyDescent="0.15">
      <c r="A125">
        <v>124</v>
      </c>
      <c r="B125" t="s">
        <v>289</v>
      </c>
    </row>
    <row r="126" spans="1:2" ht="13" x14ac:dyDescent="0.15">
      <c r="A126">
        <v>125</v>
      </c>
      <c r="B126" t="s">
        <v>309</v>
      </c>
    </row>
    <row r="127" spans="1:2" ht="13" x14ac:dyDescent="0.15">
      <c r="A127">
        <v>126</v>
      </c>
      <c r="B127" t="s">
        <v>245</v>
      </c>
    </row>
    <row r="128" spans="1:2" ht="13" x14ac:dyDescent="0.15">
      <c r="A128">
        <v>127</v>
      </c>
      <c r="B128" t="s">
        <v>293</v>
      </c>
    </row>
    <row r="129" spans="1:2" ht="13" x14ac:dyDescent="0.15">
      <c r="A129">
        <v>128</v>
      </c>
      <c r="B129" t="s">
        <v>279</v>
      </c>
    </row>
    <row r="130" spans="1:2" ht="13" x14ac:dyDescent="0.15">
      <c r="A130">
        <v>129</v>
      </c>
      <c r="B130" t="s">
        <v>281</v>
      </c>
    </row>
    <row r="131" spans="1:2" ht="13" x14ac:dyDescent="0.15">
      <c r="A131">
        <v>130</v>
      </c>
      <c r="B131" t="s">
        <v>331</v>
      </c>
    </row>
    <row r="132" spans="1:2" ht="13" x14ac:dyDescent="0.15">
      <c r="A132">
        <v>131</v>
      </c>
      <c r="B132" t="s">
        <v>285</v>
      </c>
    </row>
    <row r="133" spans="1:2" ht="13" x14ac:dyDescent="0.15">
      <c r="A133">
        <v>132</v>
      </c>
      <c r="B133" t="s">
        <v>345</v>
      </c>
    </row>
    <row r="134" spans="1:2" ht="13" x14ac:dyDescent="0.15">
      <c r="A134">
        <v>133</v>
      </c>
      <c r="B134" t="s">
        <v>323</v>
      </c>
    </row>
    <row r="135" spans="1:2" ht="13" x14ac:dyDescent="0.15">
      <c r="A135">
        <v>134</v>
      </c>
      <c r="B135" t="s">
        <v>343</v>
      </c>
    </row>
    <row r="136" spans="1:2" ht="13" x14ac:dyDescent="0.15">
      <c r="A136">
        <v>135</v>
      </c>
      <c r="B136" t="s">
        <v>265</v>
      </c>
    </row>
    <row r="137" spans="1:2" ht="13" x14ac:dyDescent="0.15">
      <c r="A137">
        <v>136</v>
      </c>
      <c r="B137" t="s">
        <v>335</v>
      </c>
    </row>
    <row r="138" spans="1:2" ht="13" x14ac:dyDescent="0.15">
      <c r="A138">
        <v>137</v>
      </c>
      <c r="B138" t="s">
        <v>353</v>
      </c>
    </row>
    <row r="139" spans="1:2" ht="13" x14ac:dyDescent="0.15">
      <c r="A139">
        <v>138</v>
      </c>
      <c r="B139" t="s">
        <v>371</v>
      </c>
    </row>
    <row r="140" spans="1:2" ht="13" x14ac:dyDescent="0.15">
      <c r="A140">
        <v>139</v>
      </c>
      <c r="B140" s="3" t="s">
        <v>375</v>
      </c>
    </row>
    <row r="141" spans="1:2" ht="13" x14ac:dyDescent="0.15">
      <c r="A141">
        <v>140</v>
      </c>
      <c r="B141" t="s">
        <v>347</v>
      </c>
    </row>
    <row r="142" spans="1:2" ht="13" x14ac:dyDescent="0.15">
      <c r="A142">
        <v>141</v>
      </c>
      <c r="B142" t="s">
        <v>337</v>
      </c>
    </row>
    <row r="143" spans="1:2" ht="13" x14ac:dyDescent="0.15">
      <c r="A143">
        <v>142</v>
      </c>
      <c r="B143" t="s">
        <v>321</v>
      </c>
    </row>
    <row r="144" spans="1:2" ht="13" x14ac:dyDescent="0.15">
      <c r="A144">
        <v>143</v>
      </c>
      <c r="B144" t="s">
        <v>249</v>
      </c>
    </row>
    <row r="145" spans="1:2" ht="13" x14ac:dyDescent="0.15">
      <c r="A145">
        <v>144</v>
      </c>
      <c r="B145" t="s">
        <v>315</v>
      </c>
    </row>
    <row r="146" spans="1:2" ht="13" x14ac:dyDescent="0.15">
      <c r="A146">
        <v>145</v>
      </c>
      <c r="B146" t="s">
        <v>325</v>
      </c>
    </row>
    <row r="147" spans="1:2" ht="13" x14ac:dyDescent="0.15">
      <c r="A147">
        <v>146</v>
      </c>
      <c r="B147" t="s">
        <v>379</v>
      </c>
    </row>
    <row r="148" spans="1:2" ht="13" x14ac:dyDescent="0.15">
      <c r="A148">
        <v>147</v>
      </c>
      <c r="B148" t="s">
        <v>269</v>
      </c>
    </row>
    <row r="149" spans="1:2" ht="13" x14ac:dyDescent="0.15">
      <c r="A149">
        <v>148</v>
      </c>
      <c r="B149" t="s">
        <v>183</v>
      </c>
    </row>
    <row r="150" spans="1:2" ht="13" x14ac:dyDescent="0.15">
      <c r="A150">
        <v>149</v>
      </c>
      <c r="B150" t="s">
        <v>311</v>
      </c>
    </row>
    <row r="151" spans="1:2" ht="13" x14ac:dyDescent="0.15">
      <c r="A151">
        <v>150</v>
      </c>
      <c r="B151" t="s">
        <v>496</v>
      </c>
    </row>
    <row r="152" spans="1:2" ht="13" x14ac:dyDescent="0.15">
      <c r="A152">
        <v>151</v>
      </c>
      <c r="B152" t="s">
        <v>563</v>
      </c>
    </row>
    <row r="153" spans="1:2" ht="13" x14ac:dyDescent="0.15">
      <c r="A153">
        <v>152</v>
      </c>
      <c r="B153" t="s">
        <v>317</v>
      </c>
    </row>
    <row r="154" spans="1:2" ht="13" x14ac:dyDescent="0.15">
      <c r="A154">
        <v>153</v>
      </c>
      <c r="B154" t="s">
        <v>381</v>
      </c>
    </row>
    <row r="155" spans="1:2" ht="13" x14ac:dyDescent="0.15">
      <c r="A155">
        <v>154</v>
      </c>
      <c r="B155" t="s">
        <v>313</v>
      </c>
    </row>
    <row r="156" spans="1:2" ht="13" x14ac:dyDescent="0.15">
      <c r="A156">
        <v>155</v>
      </c>
      <c r="B156" t="s">
        <v>440</v>
      </c>
    </row>
    <row r="157" spans="1:2" ht="13" x14ac:dyDescent="0.15">
      <c r="A157">
        <v>156</v>
      </c>
      <c r="B157" t="s">
        <v>295</v>
      </c>
    </row>
    <row r="158" spans="1:2" ht="13" x14ac:dyDescent="0.15">
      <c r="A158">
        <v>157</v>
      </c>
      <c r="B158" t="s">
        <v>396</v>
      </c>
    </row>
    <row r="159" spans="1:2" ht="13" x14ac:dyDescent="0.15">
      <c r="A159">
        <v>158</v>
      </c>
      <c r="B159" s="3" t="s">
        <v>355</v>
      </c>
    </row>
    <row r="160" spans="1:2" ht="13" x14ac:dyDescent="0.15">
      <c r="A160">
        <v>159</v>
      </c>
      <c r="B160" s="3" t="s">
        <v>351</v>
      </c>
    </row>
    <row r="161" spans="1:2" ht="13" x14ac:dyDescent="0.15">
      <c r="A161">
        <v>160</v>
      </c>
      <c r="B161" t="s">
        <v>537</v>
      </c>
    </row>
    <row r="162" spans="1:2" ht="13" x14ac:dyDescent="0.15">
      <c r="A162">
        <v>161</v>
      </c>
      <c r="B162" t="s">
        <v>617</v>
      </c>
    </row>
    <row r="163" spans="1:2" ht="13" x14ac:dyDescent="0.15">
      <c r="A163">
        <v>162</v>
      </c>
      <c r="B163" t="s">
        <v>454</v>
      </c>
    </row>
    <row r="164" spans="1:2" ht="13" x14ac:dyDescent="0.15">
      <c r="A164">
        <v>163</v>
      </c>
      <c r="B164" t="s">
        <v>430</v>
      </c>
    </row>
    <row r="165" spans="1:2" ht="13" x14ac:dyDescent="0.15">
      <c r="A165">
        <v>164</v>
      </c>
      <c r="B165" t="s">
        <v>609</v>
      </c>
    </row>
    <row r="166" spans="1:2" ht="13" x14ac:dyDescent="0.15">
      <c r="A166">
        <v>165</v>
      </c>
      <c r="B166" t="s">
        <v>357</v>
      </c>
    </row>
    <row r="167" spans="1:2" ht="13" x14ac:dyDescent="0.15">
      <c r="A167">
        <v>166</v>
      </c>
      <c r="B167" t="s">
        <v>385</v>
      </c>
    </row>
    <row r="168" spans="1:2" ht="13" x14ac:dyDescent="0.15">
      <c r="A168">
        <v>167</v>
      </c>
      <c r="B168" t="s">
        <v>329</v>
      </c>
    </row>
    <row r="169" spans="1:2" ht="13" x14ac:dyDescent="0.15">
      <c r="A169">
        <v>168</v>
      </c>
      <c r="B169" t="s">
        <v>630</v>
      </c>
    </row>
    <row r="170" spans="1:2" ht="13" x14ac:dyDescent="0.15">
      <c r="A170">
        <v>169</v>
      </c>
      <c r="B170" t="s">
        <v>408</v>
      </c>
    </row>
    <row r="171" spans="1:2" ht="13" x14ac:dyDescent="0.15">
      <c r="A171">
        <v>170</v>
      </c>
      <c r="B171" t="s">
        <v>400</v>
      </c>
    </row>
    <row r="172" spans="1:2" ht="13" x14ac:dyDescent="0.15">
      <c r="A172">
        <v>171</v>
      </c>
      <c r="B172" s="3" t="s">
        <v>428</v>
      </c>
    </row>
    <row r="173" spans="1:2" ht="13" x14ac:dyDescent="0.15">
      <c r="A173">
        <v>172</v>
      </c>
      <c r="B173" s="3" t="s">
        <v>416</v>
      </c>
    </row>
    <row r="174" spans="1:2" ht="13" x14ac:dyDescent="0.15">
      <c r="A174">
        <v>173</v>
      </c>
      <c r="B174" t="s">
        <v>410</v>
      </c>
    </row>
    <row r="175" spans="1:2" ht="13" x14ac:dyDescent="0.15">
      <c r="A175">
        <v>174</v>
      </c>
      <c r="B175" t="s">
        <v>462</v>
      </c>
    </row>
    <row r="176" spans="1:2" ht="13" x14ac:dyDescent="0.15">
      <c r="A176">
        <v>175</v>
      </c>
      <c r="B176" t="s">
        <v>438</v>
      </c>
    </row>
    <row r="177" spans="1:2" ht="13" x14ac:dyDescent="0.15">
      <c r="A177">
        <v>176</v>
      </c>
      <c r="B177" t="s">
        <v>700</v>
      </c>
    </row>
    <row r="178" spans="1:2" ht="13" x14ac:dyDescent="0.15">
      <c r="A178">
        <v>177</v>
      </c>
      <c r="B178" t="s">
        <v>836</v>
      </c>
    </row>
    <row r="179" spans="1:2" ht="13" x14ac:dyDescent="0.15">
      <c r="A179">
        <v>178</v>
      </c>
      <c r="B179" t="s">
        <v>402</v>
      </c>
    </row>
    <row r="180" spans="1:2" ht="13" x14ac:dyDescent="0.15">
      <c r="A180">
        <v>179</v>
      </c>
      <c r="B180" t="s">
        <v>442</v>
      </c>
    </row>
    <row r="181" spans="1:2" ht="13" x14ac:dyDescent="0.15">
      <c r="A181">
        <v>180</v>
      </c>
      <c r="B181" t="s">
        <v>492</v>
      </c>
    </row>
    <row r="182" spans="1:2" ht="13" x14ac:dyDescent="0.15">
      <c r="A182">
        <v>181</v>
      </c>
      <c r="B182" t="s">
        <v>448</v>
      </c>
    </row>
    <row r="183" spans="1:2" ht="13" x14ac:dyDescent="0.15">
      <c r="A183">
        <v>182</v>
      </c>
      <c r="B183" t="s">
        <v>482</v>
      </c>
    </row>
    <row r="184" spans="1:2" ht="13" x14ac:dyDescent="0.15">
      <c r="A184">
        <v>183</v>
      </c>
      <c r="B184" t="s">
        <v>458</v>
      </c>
    </row>
    <row r="185" spans="1:2" ht="13" x14ac:dyDescent="0.15">
      <c r="A185">
        <v>184</v>
      </c>
      <c r="B185" t="s">
        <v>444</v>
      </c>
    </row>
    <row r="186" spans="1:2" ht="13" x14ac:dyDescent="0.15">
      <c r="A186">
        <v>185</v>
      </c>
      <c r="B186" t="s">
        <v>514</v>
      </c>
    </row>
    <row r="187" spans="1:2" ht="13" x14ac:dyDescent="0.15">
      <c r="A187">
        <v>186</v>
      </c>
      <c r="B187" t="s">
        <v>522</v>
      </c>
    </row>
    <row r="188" spans="1:2" ht="13" x14ac:dyDescent="0.15">
      <c r="A188">
        <v>187</v>
      </c>
      <c r="B188" t="s">
        <v>468</v>
      </c>
    </row>
    <row r="189" spans="1:2" ht="13" x14ac:dyDescent="0.15">
      <c r="A189">
        <v>188</v>
      </c>
      <c r="B189" t="s">
        <v>498</v>
      </c>
    </row>
    <row r="190" spans="1:2" ht="13" x14ac:dyDescent="0.15">
      <c r="A190">
        <v>189</v>
      </c>
      <c r="B190" t="s">
        <v>904</v>
      </c>
    </row>
    <row r="191" spans="1:2" ht="13" x14ac:dyDescent="0.15">
      <c r="A191">
        <v>190</v>
      </c>
      <c r="B191" t="s">
        <v>698</v>
      </c>
    </row>
    <row r="192" spans="1:2" ht="13" x14ac:dyDescent="0.15">
      <c r="A192">
        <v>191</v>
      </c>
      <c r="B192" t="s">
        <v>585</v>
      </c>
    </row>
    <row r="193" spans="1:2" ht="13" x14ac:dyDescent="0.15">
      <c r="A193">
        <v>192</v>
      </c>
      <c r="B193" t="s">
        <v>490</v>
      </c>
    </row>
    <row r="194" spans="1:2" ht="13" x14ac:dyDescent="0.15">
      <c r="A194">
        <v>193</v>
      </c>
      <c r="B194" t="s">
        <v>333</v>
      </c>
    </row>
    <row r="195" spans="1:2" ht="13" x14ac:dyDescent="0.15">
      <c r="A195">
        <v>194</v>
      </c>
      <c r="B195" t="s">
        <v>446</v>
      </c>
    </row>
    <row r="196" spans="1:2" ht="13" x14ac:dyDescent="0.15">
      <c r="A196">
        <v>195</v>
      </c>
      <c r="B196" t="s">
        <v>196</v>
      </c>
    </row>
    <row r="197" spans="1:2" ht="13" x14ac:dyDescent="0.15">
      <c r="A197">
        <v>196</v>
      </c>
      <c r="B197" t="s">
        <v>460</v>
      </c>
    </row>
    <row r="198" spans="1:2" ht="13" x14ac:dyDescent="0.15">
      <c r="A198">
        <v>197</v>
      </c>
      <c r="B198" t="s">
        <v>573</v>
      </c>
    </row>
    <row r="199" spans="1:2" ht="13" x14ac:dyDescent="0.15">
      <c r="A199">
        <v>198</v>
      </c>
      <c r="B199" t="s">
        <v>275</v>
      </c>
    </row>
    <row r="200" spans="1:2" ht="13" x14ac:dyDescent="0.15">
      <c r="A200">
        <v>199</v>
      </c>
      <c r="B200" t="s">
        <v>1147</v>
      </c>
    </row>
    <row r="201" spans="1:2" ht="13" x14ac:dyDescent="0.15">
      <c r="A201">
        <v>200</v>
      </c>
      <c r="B201" t="s">
        <v>339</v>
      </c>
    </row>
    <row r="202" spans="1:2" ht="13" x14ac:dyDescent="0.15">
      <c r="A202">
        <v>201</v>
      </c>
      <c r="B202" t="s">
        <v>361</v>
      </c>
    </row>
    <row r="203" spans="1:2" ht="13" x14ac:dyDescent="0.15">
      <c r="A203">
        <v>202</v>
      </c>
      <c r="B203" t="s">
        <v>404</v>
      </c>
    </row>
    <row r="204" spans="1:2" ht="13" x14ac:dyDescent="0.15">
      <c r="A204">
        <v>203</v>
      </c>
      <c r="B204" t="s">
        <v>494</v>
      </c>
    </row>
    <row r="205" spans="1:2" ht="13" x14ac:dyDescent="0.15">
      <c r="A205">
        <v>204</v>
      </c>
      <c r="B205" t="s">
        <v>506</v>
      </c>
    </row>
    <row r="206" spans="1:2" ht="13" x14ac:dyDescent="0.15">
      <c r="A206">
        <v>205</v>
      </c>
      <c r="B206" t="s">
        <v>690</v>
      </c>
    </row>
    <row r="207" spans="1:2" ht="13" x14ac:dyDescent="0.15">
      <c r="A207">
        <v>206</v>
      </c>
      <c r="B207" t="s">
        <v>418</v>
      </c>
    </row>
    <row r="208" spans="1:2" ht="13" x14ac:dyDescent="0.15">
      <c r="A208">
        <v>207</v>
      </c>
      <c r="B208" t="s">
        <v>414</v>
      </c>
    </row>
    <row r="209" spans="1:2" ht="13" x14ac:dyDescent="0.15">
      <c r="A209">
        <v>208</v>
      </c>
      <c r="B209" t="s">
        <v>746</v>
      </c>
    </row>
    <row r="210" spans="1:2" ht="13" x14ac:dyDescent="0.15">
      <c r="A210">
        <v>209</v>
      </c>
      <c r="B210" t="s">
        <v>710</v>
      </c>
    </row>
    <row r="211" spans="1:2" ht="13" x14ac:dyDescent="0.15">
      <c r="A211">
        <v>210</v>
      </c>
      <c r="B211" t="s">
        <v>587</v>
      </c>
    </row>
    <row r="212" spans="1:2" ht="13" x14ac:dyDescent="0.15">
      <c r="A212">
        <v>211</v>
      </c>
      <c r="B212" t="s">
        <v>488</v>
      </c>
    </row>
    <row r="213" spans="1:2" ht="13" x14ac:dyDescent="0.15">
      <c r="A213">
        <v>212</v>
      </c>
      <c r="B213" t="s">
        <v>273</v>
      </c>
    </row>
    <row r="214" spans="1:2" ht="13" x14ac:dyDescent="0.15">
      <c r="A214">
        <v>213</v>
      </c>
      <c r="B214" t="s">
        <v>349</v>
      </c>
    </row>
    <row r="215" spans="1:2" ht="13" x14ac:dyDescent="0.15">
      <c r="A215">
        <v>214</v>
      </c>
      <c r="B215" t="s">
        <v>450</v>
      </c>
    </row>
    <row r="216" spans="1:2" ht="13" x14ac:dyDescent="0.15">
      <c r="A216">
        <v>215</v>
      </c>
      <c r="B216" t="s">
        <v>424</v>
      </c>
    </row>
    <row r="217" spans="1:2" ht="13" x14ac:dyDescent="0.15">
      <c r="A217">
        <v>216</v>
      </c>
      <c r="B217" t="s">
        <v>406</v>
      </c>
    </row>
    <row r="218" spans="1:2" ht="13" x14ac:dyDescent="0.15">
      <c r="A218">
        <v>217</v>
      </c>
      <c r="B218" t="s">
        <v>452</v>
      </c>
    </row>
    <row r="219" spans="1:2" ht="13" x14ac:dyDescent="0.15">
      <c r="A219">
        <v>218</v>
      </c>
      <c r="B219" t="s">
        <v>341</v>
      </c>
    </row>
    <row r="220" spans="1:2" ht="13" x14ac:dyDescent="0.15">
      <c r="A220">
        <v>219</v>
      </c>
      <c r="B220" t="s">
        <v>369</v>
      </c>
    </row>
    <row r="221" spans="1:2" ht="13" x14ac:dyDescent="0.15">
      <c r="A221">
        <v>220</v>
      </c>
      <c r="B221" t="s">
        <v>393</v>
      </c>
    </row>
    <row r="222" spans="1:2" ht="13" x14ac:dyDescent="0.15">
      <c r="A222">
        <v>221</v>
      </c>
      <c r="B222" t="s">
        <v>383</v>
      </c>
    </row>
    <row r="223" spans="1:2" ht="13" x14ac:dyDescent="0.15">
      <c r="A223">
        <v>222</v>
      </c>
      <c r="B223" t="s">
        <v>432</v>
      </c>
    </row>
    <row r="224" spans="1:2" ht="13" x14ac:dyDescent="0.15">
      <c r="A224">
        <v>223</v>
      </c>
      <c r="B224" t="s">
        <v>389</v>
      </c>
    </row>
    <row r="225" spans="1:2" ht="13" x14ac:dyDescent="0.15">
      <c r="A225">
        <v>224</v>
      </c>
      <c r="B225" t="s">
        <v>730</v>
      </c>
    </row>
    <row r="226" spans="1:2" ht="13" x14ac:dyDescent="0.15">
      <c r="A226">
        <v>225</v>
      </c>
      <c r="B226" t="s">
        <v>398</v>
      </c>
    </row>
    <row r="227" spans="1:2" ht="13" x14ac:dyDescent="0.15">
      <c r="A227">
        <v>226</v>
      </c>
      <c r="B227" t="s">
        <v>486</v>
      </c>
    </row>
    <row r="228" spans="1:2" ht="13" x14ac:dyDescent="0.15">
      <c r="A228">
        <v>227</v>
      </c>
      <c r="B228" t="s">
        <v>504</v>
      </c>
    </row>
    <row r="229" spans="1:2" ht="13" x14ac:dyDescent="0.15">
      <c r="A229">
        <v>228</v>
      </c>
      <c r="B229" t="s">
        <v>377</v>
      </c>
    </row>
    <row r="230" spans="1:2" ht="13" x14ac:dyDescent="0.15">
      <c r="A230">
        <v>229</v>
      </c>
      <c r="B230" t="s">
        <v>644</v>
      </c>
    </row>
    <row r="231" spans="1:2" ht="13" x14ac:dyDescent="0.15">
      <c r="A231">
        <v>230</v>
      </c>
      <c r="B231" t="s">
        <v>466</v>
      </c>
    </row>
    <row r="232" spans="1:2" ht="13" x14ac:dyDescent="0.15">
      <c r="A232">
        <v>231</v>
      </c>
      <c r="B232" t="s">
        <v>738</v>
      </c>
    </row>
    <row r="233" spans="1:2" ht="13" x14ac:dyDescent="0.15">
      <c r="A233">
        <v>232</v>
      </c>
      <c r="B233" t="s">
        <v>726</v>
      </c>
    </row>
    <row r="234" spans="1:2" ht="13" x14ac:dyDescent="0.15">
      <c r="A234">
        <v>233</v>
      </c>
      <c r="B234" t="s">
        <v>788</v>
      </c>
    </row>
    <row r="235" spans="1:2" ht="13" x14ac:dyDescent="0.15">
      <c r="A235">
        <v>234</v>
      </c>
      <c r="B235" t="s">
        <v>478</v>
      </c>
    </row>
    <row r="236" spans="1:2" ht="13" x14ac:dyDescent="0.15">
      <c r="A236">
        <v>235</v>
      </c>
      <c r="B236" t="s">
        <v>784</v>
      </c>
    </row>
    <row r="237" spans="1:2" ht="13" x14ac:dyDescent="0.15">
      <c r="A237">
        <v>236</v>
      </c>
      <c r="B237" t="s">
        <v>557</v>
      </c>
    </row>
    <row r="238" spans="1:2" ht="13" x14ac:dyDescent="0.15">
      <c r="A238">
        <v>237</v>
      </c>
      <c r="B238" t="s">
        <v>583</v>
      </c>
    </row>
    <row r="239" spans="1:2" ht="13" x14ac:dyDescent="0.15">
      <c r="A239">
        <v>238</v>
      </c>
      <c r="B239" t="s">
        <v>1132</v>
      </c>
    </row>
    <row r="240" spans="1:2" ht="13" x14ac:dyDescent="0.15">
      <c r="A240">
        <v>239</v>
      </c>
      <c r="B240" t="s">
        <v>720</v>
      </c>
    </row>
    <row r="241" spans="1:2" ht="13" x14ac:dyDescent="0.15">
      <c r="A241">
        <v>240</v>
      </c>
      <c r="B241" t="s">
        <v>561</v>
      </c>
    </row>
    <row r="242" spans="1:2" ht="13" x14ac:dyDescent="0.15">
      <c r="A242">
        <v>241</v>
      </c>
      <c r="B242" t="s">
        <v>363</v>
      </c>
    </row>
    <row r="243" spans="1:2" ht="13" x14ac:dyDescent="0.15">
      <c r="A243">
        <v>242</v>
      </c>
      <c r="B243" t="s">
        <v>571</v>
      </c>
    </row>
    <row r="244" spans="1:2" ht="13" x14ac:dyDescent="0.15">
      <c r="A244">
        <v>243</v>
      </c>
      <c r="B244" t="s">
        <v>476</v>
      </c>
    </row>
    <row r="245" spans="1:2" ht="13" x14ac:dyDescent="0.15">
      <c r="A245">
        <v>244</v>
      </c>
      <c r="B245" t="s">
        <v>480</v>
      </c>
    </row>
    <row r="246" spans="1:2" ht="13" x14ac:dyDescent="0.15">
      <c r="A246">
        <v>245</v>
      </c>
      <c r="B246" t="s">
        <v>551</v>
      </c>
    </row>
    <row r="247" spans="1:2" ht="13" x14ac:dyDescent="0.15">
      <c r="A247">
        <v>246</v>
      </c>
      <c r="B247" t="s">
        <v>528</v>
      </c>
    </row>
    <row r="248" spans="1:2" ht="13" x14ac:dyDescent="0.15">
      <c r="A248">
        <v>247</v>
      </c>
      <c r="B248" t="s">
        <v>327</v>
      </c>
    </row>
    <row r="249" spans="1:2" ht="13" x14ac:dyDescent="0.15">
      <c r="A249">
        <v>248</v>
      </c>
      <c r="B249" t="s">
        <v>524</v>
      </c>
    </row>
    <row r="250" spans="1:2" ht="13" x14ac:dyDescent="0.15">
      <c r="A250">
        <v>249</v>
      </c>
      <c r="B250" t="s">
        <v>666</v>
      </c>
    </row>
    <row r="251" spans="1:2" ht="13" x14ac:dyDescent="0.15">
      <c r="A251">
        <v>250</v>
      </c>
      <c r="B251" t="s">
        <v>656</v>
      </c>
    </row>
    <row r="252" spans="1:2" ht="13" x14ac:dyDescent="0.15">
      <c r="A252">
        <v>251</v>
      </c>
      <c r="B252" t="s">
        <v>569</v>
      </c>
    </row>
    <row r="253" spans="1:2" ht="13" x14ac:dyDescent="0.15">
      <c r="A253">
        <v>252</v>
      </c>
      <c r="B253" t="s">
        <v>422</v>
      </c>
    </row>
    <row r="254" spans="1:2" ht="13" x14ac:dyDescent="0.15">
      <c r="A254">
        <v>253</v>
      </c>
      <c r="B254" t="s">
        <v>518</v>
      </c>
    </row>
    <row r="255" spans="1:2" ht="13" x14ac:dyDescent="0.15">
      <c r="A255">
        <v>254</v>
      </c>
      <c r="B255" t="s">
        <v>684</v>
      </c>
    </row>
    <row r="256" spans="1:2" ht="13" x14ac:dyDescent="0.15">
      <c r="A256">
        <v>255</v>
      </c>
      <c r="B256" t="s">
        <v>470</v>
      </c>
    </row>
    <row r="257" spans="1:2" ht="13" x14ac:dyDescent="0.15">
      <c r="A257">
        <v>256</v>
      </c>
      <c r="B257" t="s">
        <v>786</v>
      </c>
    </row>
    <row r="258" spans="1:2" ht="13" x14ac:dyDescent="0.15">
      <c r="A258">
        <v>257</v>
      </c>
      <c r="B258" t="s">
        <v>682</v>
      </c>
    </row>
    <row r="259" spans="1:2" ht="13" x14ac:dyDescent="0.15">
      <c r="A259">
        <v>258</v>
      </c>
      <c r="B259" t="s">
        <v>619</v>
      </c>
    </row>
    <row r="260" spans="1:2" ht="13" x14ac:dyDescent="0.15">
      <c r="A260">
        <v>259</v>
      </c>
      <c r="B260" t="s">
        <v>508</v>
      </c>
    </row>
    <row r="261" spans="1:2" ht="13" x14ac:dyDescent="0.15">
      <c r="A261">
        <v>260</v>
      </c>
      <c r="B261" t="s">
        <v>696</v>
      </c>
    </row>
    <row r="262" spans="1:2" ht="13" x14ac:dyDescent="0.15">
      <c r="A262">
        <v>261</v>
      </c>
      <c r="B262" t="s">
        <v>559</v>
      </c>
    </row>
    <row r="263" spans="1:2" ht="13" x14ac:dyDescent="0.15">
      <c r="A263">
        <v>262</v>
      </c>
      <c r="B263" t="s">
        <v>555</v>
      </c>
    </row>
    <row r="264" spans="1:2" ht="13" x14ac:dyDescent="0.15">
      <c r="A264">
        <v>263</v>
      </c>
      <c r="B264" t="s">
        <v>591</v>
      </c>
    </row>
    <row r="265" spans="1:2" ht="13" x14ac:dyDescent="0.15">
      <c r="A265">
        <v>264</v>
      </c>
      <c r="B265" t="s">
        <v>1026</v>
      </c>
    </row>
    <row r="266" spans="1:2" ht="13" x14ac:dyDescent="0.15">
      <c r="A266">
        <v>265</v>
      </c>
      <c r="B266" t="s">
        <v>800</v>
      </c>
    </row>
    <row r="267" spans="1:2" ht="13" x14ac:dyDescent="0.15">
      <c r="A267">
        <v>266</v>
      </c>
      <c r="B267" t="s">
        <v>597</v>
      </c>
    </row>
    <row r="268" spans="1:2" ht="13" x14ac:dyDescent="0.15">
      <c r="A268">
        <v>267</v>
      </c>
      <c r="B268" t="s">
        <v>567</v>
      </c>
    </row>
    <row r="269" spans="1:2" ht="13" x14ac:dyDescent="0.15">
      <c r="A269">
        <v>268</v>
      </c>
      <c r="B269" t="s">
        <v>426</v>
      </c>
    </row>
    <row r="270" spans="1:2" ht="13" x14ac:dyDescent="0.15">
      <c r="A270">
        <v>269</v>
      </c>
      <c r="B270" t="s">
        <v>516</v>
      </c>
    </row>
    <row r="271" spans="1:2" ht="13" x14ac:dyDescent="0.15">
      <c r="A271">
        <v>270</v>
      </c>
      <c r="B271" t="s">
        <v>605</v>
      </c>
    </row>
    <row r="272" spans="1:2" ht="13" x14ac:dyDescent="0.15">
      <c r="A272">
        <v>271</v>
      </c>
      <c r="B272" t="s">
        <v>603</v>
      </c>
    </row>
    <row r="273" spans="1:2" ht="13" x14ac:dyDescent="0.15">
      <c r="A273">
        <v>272</v>
      </c>
      <c r="B273" t="s">
        <v>806</v>
      </c>
    </row>
    <row r="274" spans="1:2" ht="13" x14ac:dyDescent="0.15">
      <c r="A274">
        <v>273</v>
      </c>
      <c r="B274" t="s">
        <v>575</v>
      </c>
    </row>
    <row r="275" spans="1:2" ht="13" x14ac:dyDescent="0.15">
      <c r="A275">
        <v>274</v>
      </c>
      <c r="B275" t="s">
        <v>782</v>
      </c>
    </row>
    <row r="276" spans="1:2" ht="13" x14ac:dyDescent="0.15">
      <c r="A276">
        <v>275</v>
      </c>
      <c r="B276" t="s">
        <v>1004</v>
      </c>
    </row>
    <row r="277" spans="1:2" ht="13" x14ac:dyDescent="0.15">
      <c r="A277">
        <v>276</v>
      </c>
      <c r="B277" t="s">
        <v>810</v>
      </c>
    </row>
    <row r="278" spans="1:2" ht="13" x14ac:dyDescent="0.15">
      <c r="A278">
        <v>277</v>
      </c>
      <c r="B278" t="s">
        <v>532</v>
      </c>
    </row>
    <row r="279" spans="1:2" ht="13" x14ac:dyDescent="0.15">
      <c r="A279">
        <v>278</v>
      </c>
      <c r="B279" t="s">
        <v>822</v>
      </c>
    </row>
    <row r="280" spans="1:2" ht="13" x14ac:dyDescent="0.15">
      <c r="A280">
        <v>279</v>
      </c>
      <c r="B280" t="s">
        <v>654</v>
      </c>
    </row>
    <row r="281" spans="1:2" ht="13" x14ac:dyDescent="0.15">
      <c r="A281">
        <v>280</v>
      </c>
      <c r="B281" t="s">
        <v>565</v>
      </c>
    </row>
    <row r="282" spans="1:2" ht="13" x14ac:dyDescent="0.15">
      <c r="A282">
        <v>281</v>
      </c>
      <c r="B282" t="s">
        <v>912</v>
      </c>
    </row>
    <row r="283" spans="1:2" ht="13" x14ac:dyDescent="0.15">
      <c r="A283">
        <v>282</v>
      </c>
      <c r="B283" t="s">
        <v>543</v>
      </c>
    </row>
    <row r="284" spans="1:2" ht="13" x14ac:dyDescent="0.15">
      <c r="A284">
        <v>283</v>
      </c>
      <c r="B284" t="s">
        <v>510</v>
      </c>
    </row>
    <row r="285" spans="1:2" ht="13" x14ac:dyDescent="0.15">
      <c r="A285">
        <v>284</v>
      </c>
      <c r="B285" t="s">
        <v>718</v>
      </c>
    </row>
    <row r="286" spans="1:2" ht="13" x14ac:dyDescent="0.15">
      <c r="A286">
        <v>285</v>
      </c>
      <c r="B286" t="s">
        <v>434</v>
      </c>
    </row>
    <row r="287" spans="1:2" ht="13" x14ac:dyDescent="0.15">
      <c r="A287">
        <v>286</v>
      </c>
      <c r="B287" t="s">
        <v>622</v>
      </c>
    </row>
    <row r="288" spans="1:2" ht="13" x14ac:dyDescent="0.15">
      <c r="A288">
        <v>287</v>
      </c>
      <c r="B288" t="s">
        <v>812</v>
      </c>
    </row>
    <row r="289" spans="1:2" ht="13" x14ac:dyDescent="0.15">
      <c r="A289">
        <v>288</v>
      </c>
      <c r="B289" t="s">
        <v>464</v>
      </c>
    </row>
    <row r="290" spans="1:2" ht="13" x14ac:dyDescent="0.15">
      <c r="A290">
        <v>289</v>
      </c>
      <c r="B290" t="s">
        <v>520</v>
      </c>
    </row>
    <row r="291" spans="1:2" ht="13" x14ac:dyDescent="0.15">
      <c r="A291">
        <v>290</v>
      </c>
      <c r="B291" t="s">
        <v>412</v>
      </c>
    </row>
    <row r="292" spans="1:2" ht="13" x14ac:dyDescent="0.15">
      <c r="A292">
        <v>291</v>
      </c>
      <c r="B292" t="s">
        <v>391</v>
      </c>
    </row>
    <row r="293" spans="1:2" ht="13" x14ac:dyDescent="0.15">
      <c r="A293">
        <v>292</v>
      </c>
      <c r="B293" t="s">
        <v>500</v>
      </c>
    </row>
    <row r="294" spans="1:2" ht="13" x14ac:dyDescent="0.15">
      <c r="A294">
        <v>293</v>
      </c>
      <c r="B294" t="s">
        <v>660</v>
      </c>
    </row>
    <row r="295" spans="1:2" ht="13" x14ac:dyDescent="0.15">
      <c r="A295">
        <v>294</v>
      </c>
      <c r="B295" t="s">
        <v>365</v>
      </c>
    </row>
    <row r="296" spans="1:2" ht="13" x14ac:dyDescent="0.15">
      <c r="A296">
        <v>295</v>
      </c>
      <c r="B296" t="s">
        <v>668</v>
      </c>
    </row>
    <row r="297" spans="1:2" ht="13" x14ac:dyDescent="0.15">
      <c r="A297">
        <v>296</v>
      </c>
      <c r="B297" t="s">
        <v>740</v>
      </c>
    </row>
    <row r="298" spans="1:2" ht="13" x14ac:dyDescent="0.15">
      <c r="A298">
        <v>297</v>
      </c>
      <c r="B298" t="s">
        <v>472</v>
      </c>
    </row>
    <row r="299" spans="1:2" ht="13" x14ac:dyDescent="0.15">
      <c r="A299">
        <v>298</v>
      </c>
      <c r="B299" t="s">
        <v>928</v>
      </c>
    </row>
    <row r="300" spans="1:2" ht="13" x14ac:dyDescent="0.15">
      <c r="A300">
        <v>299</v>
      </c>
      <c r="B300" t="s">
        <v>512</v>
      </c>
    </row>
    <row r="301" spans="1:2" ht="13" x14ac:dyDescent="0.15">
      <c r="A301">
        <v>300</v>
      </c>
      <c r="B301" t="s">
        <v>456</v>
      </c>
    </row>
    <row r="302" spans="1:2" ht="13" x14ac:dyDescent="0.15">
      <c r="A302">
        <v>301</v>
      </c>
      <c r="B302" t="s">
        <v>634</v>
      </c>
    </row>
    <row r="303" spans="1:2" ht="13" x14ac:dyDescent="0.15">
      <c r="A303">
        <v>302</v>
      </c>
      <c r="B303" t="s">
        <v>607</v>
      </c>
    </row>
    <row r="304" spans="1:2" ht="13" x14ac:dyDescent="0.15">
      <c r="A304">
        <v>303</v>
      </c>
      <c r="B304" t="s">
        <v>692</v>
      </c>
    </row>
    <row r="305" spans="1:2" ht="13" x14ac:dyDescent="0.15">
      <c r="A305">
        <v>304</v>
      </c>
      <c r="B305" t="s">
        <v>526</v>
      </c>
    </row>
    <row r="306" spans="1:2" ht="13" x14ac:dyDescent="0.15">
      <c r="A306">
        <v>305</v>
      </c>
      <c r="B306" t="s">
        <v>577</v>
      </c>
    </row>
    <row r="307" spans="1:2" ht="13" x14ac:dyDescent="0.15">
      <c r="A307">
        <v>306</v>
      </c>
      <c r="B307" t="s">
        <v>989</v>
      </c>
    </row>
    <row r="308" spans="1:2" ht="13" x14ac:dyDescent="0.15">
      <c r="A308">
        <v>307</v>
      </c>
      <c r="B308" t="s">
        <v>1018</v>
      </c>
    </row>
    <row r="309" spans="1:2" ht="13" x14ac:dyDescent="0.15">
      <c r="A309">
        <v>308</v>
      </c>
      <c r="B309" t="s">
        <v>1126</v>
      </c>
    </row>
    <row r="310" spans="1:2" ht="13" x14ac:dyDescent="0.15">
      <c r="A310">
        <v>309</v>
      </c>
      <c r="B310" t="s">
        <v>1034</v>
      </c>
    </row>
    <row r="311" spans="1:2" ht="13" x14ac:dyDescent="0.15">
      <c r="A311">
        <v>310</v>
      </c>
      <c r="B311" t="s">
        <v>474</v>
      </c>
    </row>
    <row r="312" spans="1:2" ht="13" x14ac:dyDescent="0.15">
      <c r="A312">
        <v>311</v>
      </c>
      <c r="B312" t="s">
        <v>742</v>
      </c>
    </row>
    <row r="313" spans="1:2" ht="13" x14ac:dyDescent="0.15">
      <c r="A313">
        <v>312</v>
      </c>
      <c r="B313" t="s">
        <v>744</v>
      </c>
    </row>
    <row r="314" spans="1:2" ht="13" x14ac:dyDescent="0.15">
      <c r="A314">
        <v>313</v>
      </c>
      <c r="B314" t="s">
        <v>688</v>
      </c>
    </row>
    <row r="315" spans="1:2" ht="13" x14ac:dyDescent="0.15">
      <c r="A315">
        <v>314</v>
      </c>
      <c r="B315" t="s">
        <v>636</v>
      </c>
    </row>
    <row r="316" spans="1:2" ht="13" x14ac:dyDescent="0.15">
      <c r="A316">
        <v>315</v>
      </c>
      <c r="B316" t="s">
        <v>796</v>
      </c>
    </row>
    <row r="317" spans="1:2" ht="13" x14ac:dyDescent="0.15">
      <c r="A317">
        <v>316</v>
      </c>
      <c r="B317" t="s">
        <v>686</v>
      </c>
    </row>
    <row r="318" spans="1:2" ht="13" x14ac:dyDescent="0.15">
      <c r="A318">
        <v>317</v>
      </c>
      <c r="B318" t="s">
        <v>714</v>
      </c>
    </row>
    <row r="319" spans="1:2" ht="13" x14ac:dyDescent="0.15">
      <c r="A319">
        <v>318</v>
      </c>
      <c r="B319" t="s">
        <v>985</v>
      </c>
    </row>
    <row r="320" spans="1:2" ht="13" x14ac:dyDescent="0.15">
      <c r="A320">
        <v>319</v>
      </c>
      <c r="B320" t="s">
        <v>754</v>
      </c>
    </row>
    <row r="321" spans="1:2" ht="13" x14ac:dyDescent="0.15">
      <c r="A321">
        <v>320</v>
      </c>
      <c r="B321" t="s">
        <v>938</v>
      </c>
    </row>
    <row r="322" spans="1:2" ht="13" x14ac:dyDescent="0.15">
      <c r="A322">
        <v>321</v>
      </c>
      <c r="B322" t="s">
        <v>766</v>
      </c>
    </row>
    <row r="323" spans="1:2" ht="13" x14ac:dyDescent="0.15">
      <c r="A323">
        <v>322</v>
      </c>
      <c r="B323" t="s">
        <v>878</v>
      </c>
    </row>
    <row r="324" spans="1:2" ht="13" x14ac:dyDescent="0.15">
      <c r="A324">
        <v>323</v>
      </c>
      <c r="B324" t="s">
        <v>704</v>
      </c>
    </row>
    <row r="325" spans="1:2" ht="13" x14ac:dyDescent="0.15">
      <c r="A325">
        <v>324</v>
      </c>
      <c r="B325" t="s">
        <v>593</v>
      </c>
    </row>
    <row r="326" spans="1:2" ht="13" x14ac:dyDescent="0.15">
      <c r="A326">
        <v>325</v>
      </c>
      <c r="B326" t="s">
        <v>776</v>
      </c>
    </row>
    <row r="327" spans="1:2" ht="13" x14ac:dyDescent="0.15">
      <c r="A327">
        <v>326</v>
      </c>
      <c r="B327" t="s">
        <v>613</v>
      </c>
    </row>
    <row r="328" spans="1:2" ht="13" x14ac:dyDescent="0.15">
      <c r="A328">
        <v>327</v>
      </c>
      <c r="B328" t="s">
        <v>674</v>
      </c>
    </row>
    <row r="329" spans="1:2" ht="13" x14ac:dyDescent="0.15">
      <c r="A329">
        <v>328</v>
      </c>
      <c r="B329" t="s">
        <v>732</v>
      </c>
    </row>
    <row r="330" spans="1:2" ht="13" x14ac:dyDescent="0.15">
      <c r="A330">
        <v>329</v>
      </c>
      <c r="B330" t="s">
        <v>756</v>
      </c>
    </row>
    <row r="331" spans="1:2" ht="13" x14ac:dyDescent="0.15">
      <c r="A331">
        <v>330</v>
      </c>
      <c r="B331" t="s">
        <v>539</v>
      </c>
    </row>
    <row r="332" spans="1:2" ht="13" x14ac:dyDescent="0.15">
      <c r="A332">
        <v>331</v>
      </c>
      <c r="B332" t="s">
        <v>750</v>
      </c>
    </row>
    <row r="333" spans="1:2" ht="13" x14ac:dyDescent="0.15">
      <c r="A333">
        <v>332</v>
      </c>
      <c r="B333" t="s">
        <v>706</v>
      </c>
    </row>
    <row r="334" spans="1:2" ht="13" x14ac:dyDescent="0.15">
      <c r="A334">
        <v>333</v>
      </c>
      <c r="B334" t="s">
        <v>792</v>
      </c>
    </row>
    <row r="335" spans="1:2" ht="13" x14ac:dyDescent="0.15">
      <c r="A335">
        <v>334</v>
      </c>
      <c r="B335" t="s">
        <v>846</v>
      </c>
    </row>
    <row r="336" spans="1:2" ht="13" x14ac:dyDescent="0.15">
      <c r="A336">
        <v>335</v>
      </c>
      <c r="B336" t="s">
        <v>615</v>
      </c>
    </row>
    <row r="337" spans="1:2" ht="13" x14ac:dyDescent="0.15">
      <c r="A337">
        <v>336</v>
      </c>
      <c r="B337" t="s">
        <v>859</v>
      </c>
    </row>
    <row r="338" spans="1:2" ht="13" x14ac:dyDescent="0.15">
      <c r="A338">
        <v>337</v>
      </c>
      <c r="B338" t="s">
        <v>1127</v>
      </c>
    </row>
    <row r="339" spans="1:2" ht="13" x14ac:dyDescent="0.15">
      <c r="A339">
        <v>338</v>
      </c>
      <c r="B339" t="s">
        <v>764</v>
      </c>
    </row>
    <row r="340" spans="1:2" ht="13" x14ac:dyDescent="0.15">
      <c r="A340">
        <v>339</v>
      </c>
      <c r="B340" t="s">
        <v>920</v>
      </c>
    </row>
    <row r="341" spans="1:2" ht="13" x14ac:dyDescent="0.15">
      <c r="A341">
        <v>340</v>
      </c>
      <c r="B341" t="s">
        <v>882</v>
      </c>
    </row>
    <row r="342" spans="1:2" ht="13" x14ac:dyDescent="0.15">
      <c r="A342">
        <v>341</v>
      </c>
      <c r="B342" t="s">
        <v>768</v>
      </c>
    </row>
    <row r="343" spans="1:2" ht="13" x14ac:dyDescent="0.15">
      <c r="A343">
        <v>342</v>
      </c>
      <c r="B343" t="s">
        <v>1253</v>
      </c>
    </row>
    <row r="344" spans="1:2" ht="13" x14ac:dyDescent="0.15">
      <c r="A344">
        <v>343</v>
      </c>
      <c r="B344" t="s">
        <v>872</v>
      </c>
    </row>
    <row r="345" spans="1:2" ht="13" x14ac:dyDescent="0.15">
      <c r="A345">
        <v>344</v>
      </c>
      <c r="B345" t="s">
        <v>1254</v>
      </c>
    </row>
    <row r="346" spans="1:2" ht="13" x14ac:dyDescent="0.15">
      <c r="A346">
        <v>345</v>
      </c>
      <c r="B346" t="s">
        <v>678</v>
      </c>
    </row>
    <row r="347" spans="1:2" ht="13" x14ac:dyDescent="0.15">
      <c r="A347">
        <v>346</v>
      </c>
      <c r="B347" t="s">
        <v>502</v>
      </c>
    </row>
    <row r="348" spans="1:2" ht="13" x14ac:dyDescent="0.15">
      <c r="A348">
        <v>347</v>
      </c>
      <c r="B348" t="s">
        <v>1128</v>
      </c>
    </row>
    <row r="349" spans="1:2" ht="13" x14ac:dyDescent="0.15">
      <c r="A349">
        <v>348</v>
      </c>
      <c r="B349" t="s">
        <v>642</v>
      </c>
    </row>
    <row r="350" spans="1:2" ht="13" x14ac:dyDescent="0.15">
      <c r="A350">
        <v>349</v>
      </c>
      <c r="B350" t="s">
        <v>1130</v>
      </c>
    </row>
    <row r="351" spans="1:2" ht="13" x14ac:dyDescent="0.15">
      <c r="A351">
        <v>350</v>
      </c>
      <c r="B351" t="s">
        <v>880</v>
      </c>
    </row>
    <row r="352" spans="1:2" ht="13" x14ac:dyDescent="0.15">
      <c r="A352">
        <v>351</v>
      </c>
      <c r="B352" t="s">
        <v>547</v>
      </c>
    </row>
    <row r="353" spans="1:2" ht="13" x14ac:dyDescent="0.15">
      <c r="A353">
        <v>352</v>
      </c>
      <c r="B353" t="s">
        <v>864</v>
      </c>
    </row>
    <row r="354" spans="1:2" ht="13" x14ac:dyDescent="0.15">
      <c r="A354">
        <v>353</v>
      </c>
      <c r="B354" t="s">
        <v>1129</v>
      </c>
    </row>
    <row r="355" spans="1:2" ht="13" x14ac:dyDescent="0.15">
      <c r="A355">
        <v>354</v>
      </c>
      <c r="B355" t="s">
        <v>758</v>
      </c>
    </row>
    <row r="356" spans="1:2" ht="13" x14ac:dyDescent="0.15">
      <c r="A356">
        <v>355</v>
      </c>
      <c r="B356" t="s">
        <v>1131</v>
      </c>
    </row>
    <row r="357" spans="1:2" ht="13" x14ac:dyDescent="0.15">
      <c r="A357">
        <v>356</v>
      </c>
      <c r="B357" t="s">
        <v>949</v>
      </c>
    </row>
    <row r="358" spans="1:2" ht="13" x14ac:dyDescent="0.15">
      <c r="A358">
        <v>357</v>
      </c>
      <c r="B358" t="s">
        <v>1276</v>
      </c>
    </row>
    <row r="359" spans="1:2" ht="13" x14ac:dyDescent="0.15">
      <c r="A359">
        <v>358</v>
      </c>
      <c r="B359" t="s">
        <v>530</v>
      </c>
    </row>
    <row r="360" spans="1:2" ht="13" x14ac:dyDescent="0.15">
      <c r="A360">
        <v>359</v>
      </c>
      <c r="B360" t="s">
        <v>541</v>
      </c>
    </row>
    <row r="361" spans="1:2" ht="13" x14ac:dyDescent="0.15">
      <c r="A361">
        <v>360</v>
      </c>
      <c r="B361" t="s">
        <v>694</v>
      </c>
    </row>
    <row r="362" spans="1:2" ht="13" x14ac:dyDescent="0.15">
      <c r="A362">
        <v>361</v>
      </c>
      <c r="B362" t="s">
        <v>934</v>
      </c>
    </row>
    <row r="363" spans="1:2" ht="13" x14ac:dyDescent="0.15">
      <c r="A363">
        <v>362</v>
      </c>
      <c r="B363" t="s">
        <v>876</v>
      </c>
    </row>
    <row r="364" spans="1:2" ht="13" x14ac:dyDescent="0.15">
      <c r="A364">
        <v>363</v>
      </c>
      <c r="B364" t="s">
        <v>601</v>
      </c>
    </row>
    <row r="365" spans="1:2" ht="13" x14ac:dyDescent="0.15">
      <c r="A365">
        <v>364</v>
      </c>
      <c r="B365" t="s">
        <v>794</v>
      </c>
    </row>
    <row r="366" spans="1:2" ht="13" x14ac:dyDescent="0.15">
      <c r="A366">
        <v>365</v>
      </c>
      <c r="B366" t="s">
        <v>886</v>
      </c>
    </row>
    <row r="367" spans="1:2" ht="13" x14ac:dyDescent="0.15">
      <c r="A367">
        <v>366</v>
      </c>
      <c r="B367" t="s">
        <v>888</v>
      </c>
    </row>
    <row r="368" spans="1:2" ht="13" x14ac:dyDescent="0.15">
      <c r="A368">
        <v>367</v>
      </c>
      <c r="B368" t="s">
        <v>922</v>
      </c>
    </row>
    <row r="369" spans="1:2" ht="13" x14ac:dyDescent="0.15">
      <c r="A369">
        <v>368</v>
      </c>
      <c r="B369" t="s">
        <v>932</v>
      </c>
    </row>
    <row r="370" spans="1:2" ht="13" x14ac:dyDescent="0.15">
      <c r="A370">
        <v>369</v>
      </c>
      <c r="B370" t="s">
        <v>650</v>
      </c>
    </row>
    <row r="371" spans="1:2" ht="13" x14ac:dyDescent="0.15">
      <c r="A371">
        <v>370</v>
      </c>
      <c r="B371" t="s">
        <v>589</v>
      </c>
    </row>
    <row r="372" spans="1:2" ht="13" x14ac:dyDescent="0.15">
      <c r="A372">
        <v>371</v>
      </c>
      <c r="B372" t="s">
        <v>367</v>
      </c>
    </row>
    <row r="373" spans="1:2" ht="13" x14ac:dyDescent="0.15">
      <c r="A373">
        <v>372</v>
      </c>
      <c r="B373" t="s">
        <v>670</v>
      </c>
    </row>
    <row r="374" spans="1:2" ht="13" x14ac:dyDescent="0.15">
      <c r="A374">
        <v>373</v>
      </c>
      <c r="B374" t="s">
        <v>790</v>
      </c>
    </row>
    <row r="375" spans="1:2" ht="13" x14ac:dyDescent="0.15">
      <c r="A375">
        <v>374</v>
      </c>
      <c r="B375" t="s">
        <v>672</v>
      </c>
    </row>
    <row r="376" spans="1:2" ht="13" x14ac:dyDescent="0.15">
      <c r="A376">
        <v>375</v>
      </c>
      <c r="B376" t="s">
        <v>772</v>
      </c>
    </row>
    <row r="377" spans="1:2" ht="13" x14ac:dyDescent="0.15">
      <c r="A377">
        <v>376</v>
      </c>
      <c r="B377" t="s">
        <v>834</v>
      </c>
    </row>
    <row r="378" spans="1:2" ht="13" x14ac:dyDescent="0.15">
      <c r="A378">
        <v>377</v>
      </c>
      <c r="B378" t="s">
        <v>632</v>
      </c>
    </row>
    <row r="379" spans="1:2" ht="13" x14ac:dyDescent="0.15">
      <c r="A379">
        <v>378</v>
      </c>
      <c r="B379" t="s">
        <v>1151</v>
      </c>
    </row>
    <row r="380" spans="1:2" ht="13" x14ac:dyDescent="0.15">
      <c r="A380">
        <v>379</v>
      </c>
      <c r="B380" t="s">
        <v>420</v>
      </c>
    </row>
    <row r="381" spans="1:2" ht="13" x14ac:dyDescent="0.15">
      <c r="A381">
        <v>380</v>
      </c>
      <c r="B381" t="s">
        <v>762</v>
      </c>
    </row>
    <row r="382" spans="1:2" ht="13" x14ac:dyDescent="0.15">
      <c r="A382">
        <v>381</v>
      </c>
      <c r="B382" t="s">
        <v>830</v>
      </c>
    </row>
    <row r="383" spans="1:2" ht="13" x14ac:dyDescent="0.15">
      <c r="A383">
        <v>382</v>
      </c>
      <c r="B383" t="s">
        <v>850</v>
      </c>
    </row>
    <row r="384" spans="1:2" ht="13" x14ac:dyDescent="0.15">
      <c r="A384">
        <v>383</v>
      </c>
      <c r="B384" t="s">
        <v>1133</v>
      </c>
    </row>
    <row r="385" spans="1:2" ht="13" x14ac:dyDescent="0.15">
      <c r="A385">
        <v>384</v>
      </c>
      <c r="B385" t="s">
        <v>908</v>
      </c>
    </row>
    <row r="386" spans="1:2" ht="13" x14ac:dyDescent="0.15">
      <c r="A386">
        <v>385</v>
      </c>
      <c r="B386" t="s">
        <v>956</v>
      </c>
    </row>
    <row r="387" spans="1:2" ht="13" x14ac:dyDescent="0.15">
      <c r="A387">
        <v>386</v>
      </c>
      <c r="B387" t="s">
        <v>484</v>
      </c>
    </row>
    <row r="388" spans="1:2" ht="13" x14ac:dyDescent="0.15">
      <c r="A388">
        <v>387</v>
      </c>
      <c r="B388" t="s">
        <v>926</v>
      </c>
    </row>
    <row r="389" spans="1:2" ht="13" x14ac:dyDescent="0.15">
      <c r="A389">
        <v>388</v>
      </c>
      <c r="B389" t="s">
        <v>818</v>
      </c>
    </row>
    <row r="390" spans="1:2" ht="13" x14ac:dyDescent="0.15">
      <c r="A390">
        <v>389</v>
      </c>
      <c r="B390" t="s">
        <v>848</v>
      </c>
    </row>
    <row r="391" spans="1:2" ht="13" x14ac:dyDescent="0.15">
      <c r="A391">
        <v>390</v>
      </c>
      <c r="B391" t="s">
        <v>581</v>
      </c>
    </row>
    <row r="392" spans="1:2" ht="13" x14ac:dyDescent="0.15">
      <c r="A392">
        <v>391</v>
      </c>
      <c r="B392" t="s">
        <v>774</v>
      </c>
    </row>
    <row r="393" spans="1:2" ht="13" x14ac:dyDescent="0.15">
      <c r="A393">
        <v>392</v>
      </c>
      <c r="B393" t="s">
        <v>778</v>
      </c>
    </row>
    <row r="394" spans="1:2" ht="13" x14ac:dyDescent="0.15">
      <c r="A394">
        <v>393</v>
      </c>
      <c r="B394" t="s">
        <v>892</v>
      </c>
    </row>
    <row r="395" spans="1:2" ht="13" x14ac:dyDescent="0.15">
      <c r="A395">
        <v>394</v>
      </c>
      <c r="B395" t="s">
        <v>648</v>
      </c>
    </row>
    <row r="396" spans="1:2" ht="13" x14ac:dyDescent="0.15">
      <c r="A396">
        <v>395</v>
      </c>
      <c r="B396" t="s">
        <v>752</v>
      </c>
    </row>
    <row r="397" spans="1:2" ht="13" x14ac:dyDescent="0.15">
      <c r="A397">
        <v>396</v>
      </c>
      <c r="B397" t="s">
        <v>828</v>
      </c>
    </row>
    <row r="398" spans="1:2" ht="13" x14ac:dyDescent="0.15">
      <c r="A398">
        <v>397</v>
      </c>
      <c r="B398" t="s">
        <v>802</v>
      </c>
    </row>
    <row r="399" spans="1:2" ht="13" x14ac:dyDescent="0.15">
      <c r="A399">
        <v>398</v>
      </c>
      <c r="B399" t="s">
        <v>728</v>
      </c>
    </row>
    <row r="400" spans="1:2" ht="13" x14ac:dyDescent="0.15">
      <c r="A400">
        <v>399</v>
      </c>
      <c r="B400" t="s">
        <v>640</v>
      </c>
    </row>
    <row r="401" spans="1:2" ht="13" x14ac:dyDescent="0.15">
      <c r="A401">
        <v>400</v>
      </c>
      <c r="B401" t="s">
        <v>1183</v>
      </c>
    </row>
    <row r="402" spans="1:2" ht="13" x14ac:dyDescent="0.15"/>
    <row r="403" spans="1:2" ht="13" x14ac:dyDescent="0.15"/>
    <row r="404" spans="1:2" ht="13" x14ac:dyDescent="0.15"/>
    <row r="405" spans="1:2" ht="13" x14ac:dyDescent="0.15"/>
    <row r="406" spans="1:2" ht="13" x14ac:dyDescent="0.15"/>
    <row r="407" spans="1:2" ht="13" x14ac:dyDescent="0.15"/>
    <row r="408" spans="1:2" ht="13" x14ac:dyDescent="0.15"/>
    <row r="409" spans="1:2" ht="13" x14ac:dyDescent="0.15"/>
    <row r="410" spans="1:2" ht="13" x14ac:dyDescent="0.15"/>
    <row r="411" spans="1:2" ht="13" x14ac:dyDescent="0.15"/>
    <row r="412" spans="1:2" ht="13" x14ac:dyDescent="0.15"/>
    <row r="413" spans="1:2" ht="13" x14ac:dyDescent="0.15"/>
    <row r="414" spans="1:2" ht="13" x14ac:dyDescent="0.15"/>
    <row r="415" spans="1:2" ht="13" x14ac:dyDescent="0.15"/>
    <row r="416" spans="1:2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FF 2025</vt:lpstr>
      <vt:lpstr>Team</vt:lpstr>
      <vt:lpstr>FP Ranking</vt:lpstr>
      <vt:lpstr>ESPN Ranking</vt:lpstr>
      <vt:lpstr>'ESPN Ranking'!deepseek_csv_20250903_ef11c1_2</vt:lpstr>
      <vt:lpstr>'FP Ranking'!FantasyPros_2025_Draft_ALL_Rankings_7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Zander Lustig</cp:lastModifiedBy>
  <dcterms:created xsi:type="dcterms:W3CDTF">2025-08-06T15:22:09Z</dcterms:created>
  <dcterms:modified xsi:type="dcterms:W3CDTF">2025-10-01T15:44:36Z</dcterms:modified>
</cp:coreProperties>
</file>