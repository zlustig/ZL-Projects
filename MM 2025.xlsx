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zanderlustig/Downloads/"/>
    </mc:Choice>
  </mc:AlternateContent>
  <xr:revisionPtr revIDLastSave="0" documentId="8_{076CAD02-D664-D742-8653-83C5F0115406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MM 2025" sheetId="1" r:id="rId1"/>
    <sheet name="Odds" sheetId="2" r:id="rId2"/>
    <sheet name="Yahoo WPW" sheetId="3" r:id="rId3"/>
  </sheets>
  <definedNames>
    <definedName name="_xlnm._FilterDatabase" localSheetId="0" hidden="1">'MM 2025'!$A$2:$AA$66</definedName>
    <definedName name="_xlnm._FilterDatabase" localSheetId="1" hidden="1">Odds!$A$1:$I$1000</definedName>
    <definedName name="_xlnm._FilterDatabase" localSheetId="2" hidden="1">'Yahoo WPW'!$A$1:$I$996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1" i="1" l="1"/>
  <c r="X41" i="1"/>
  <c r="U41" i="1"/>
  <c r="T41" i="1"/>
  <c r="V41" i="1"/>
  <c r="W41" i="1"/>
  <c r="Q41" i="1"/>
  <c r="P41" i="1"/>
  <c r="M41" i="1"/>
  <c r="L41" i="1"/>
  <c r="N41" i="1"/>
  <c r="O41" i="1"/>
  <c r="I41" i="1"/>
  <c r="H41" i="1"/>
  <c r="E41" i="1"/>
  <c r="D41" i="1"/>
  <c r="Y40" i="1"/>
  <c r="X40" i="1"/>
  <c r="U40" i="1"/>
  <c r="T40" i="1"/>
  <c r="V40" i="1"/>
  <c r="W40" i="1"/>
  <c r="Q40" i="1"/>
  <c r="P40" i="1"/>
  <c r="R40" i="1"/>
  <c r="S40" i="1"/>
  <c r="M40" i="1"/>
  <c r="L40" i="1"/>
  <c r="I40" i="1"/>
  <c r="H40" i="1"/>
  <c r="E40" i="1"/>
  <c r="D40" i="1"/>
  <c r="F40" i="1"/>
  <c r="G40" i="1"/>
  <c r="Y39" i="1"/>
  <c r="X39" i="1"/>
  <c r="U39" i="1"/>
  <c r="T39" i="1"/>
  <c r="V39" i="1"/>
  <c r="W39" i="1"/>
  <c r="Q39" i="1"/>
  <c r="P39" i="1"/>
  <c r="M39" i="1"/>
  <c r="L39" i="1"/>
  <c r="I39" i="1"/>
  <c r="H39" i="1"/>
  <c r="E39" i="1"/>
  <c r="D39" i="1"/>
  <c r="Y38" i="1"/>
  <c r="X38" i="1"/>
  <c r="U38" i="1"/>
  <c r="T38" i="1"/>
  <c r="Q38" i="1"/>
  <c r="P38" i="1"/>
  <c r="M38" i="1"/>
  <c r="L38" i="1"/>
  <c r="I38" i="1"/>
  <c r="H38" i="1"/>
  <c r="E38" i="1"/>
  <c r="D38" i="1"/>
  <c r="Y37" i="1"/>
  <c r="X37" i="1"/>
  <c r="U37" i="1"/>
  <c r="T37" i="1"/>
  <c r="V37" i="1"/>
  <c r="W37" i="1"/>
  <c r="Q37" i="1"/>
  <c r="P37" i="1"/>
  <c r="M37" i="1"/>
  <c r="L37" i="1"/>
  <c r="I37" i="1"/>
  <c r="H37" i="1"/>
  <c r="E37" i="1"/>
  <c r="D37" i="1"/>
  <c r="Y36" i="1"/>
  <c r="X36" i="1"/>
  <c r="U36" i="1"/>
  <c r="T36" i="1"/>
  <c r="Q36" i="1"/>
  <c r="P36" i="1"/>
  <c r="M36" i="1"/>
  <c r="L36" i="1"/>
  <c r="N36" i="1"/>
  <c r="O36" i="1"/>
  <c r="I36" i="1"/>
  <c r="H36" i="1"/>
  <c r="E36" i="1"/>
  <c r="D36" i="1"/>
  <c r="Y35" i="1"/>
  <c r="X35" i="1"/>
  <c r="U35" i="1"/>
  <c r="T35" i="1"/>
  <c r="Q35" i="1"/>
  <c r="P35" i="1"/>
  <c r="M35" i="1"/>
  <c r="L35" i="1"/>
  <c r="I35" i="1"/>
  <c r="H35" i="1"/>
  <c r="J35" i="1"/>
  <c r="K35" i="1"/>
  <c r="E35" i="1"/>
  <c r="D35" i="1"/>
  <c r="F35" i="1"/>
  <c r="G35" i="1"/>
  <c r="Y34" i="1"/>
  <c r="X34" i="1"/>
  <c r="U34" i="1"/>
  <c r="T34" i="1"/>
  <c r="Q34" i="1"/>
  <c r="P34" i="1"/>
  <c r="R34" i="1"/>
  <c r="S34" i="1"/>
  <c r="M34" i="1"/>
  <c r="L34" i="1"/>
  <c r="I34" i="1"/>
  <c r="H34" i="1"/>
  <c r="E34" i="1"/>
  <c r="D34" i="1"/>
  <c r="Y31" i="1"/>
  <c r="X31" i="1"/>
  <c r="U31" i="1"/>
  <c r="T31" i="1"/>
  <c r="V31" i="1"/>
  <c r="W31" i="1"/>
  <c r="Q31" i="1"/>
  <c r="P31" i="1"/>
  <c r="R31" i="1"/>
  <c r="S31" i="1"/>
  <c r="M31" i="1"/>
  <c r="L31" i="1"/>
  <c r="N31" i="1"/>
  <c r="O31" i="1"/>
  <c r="I31" i="1"/>
  <c r="H31" i="1"/>
  <c r="J31" i="1"/>
  <c r="K31" i="1"/>
  <c r="E31" i="1"/>
  <c r="D31" i="1"/>
  <c r="Y33" i="1"/>
  <c r="X33" i="1"/>
  <c r="U33" i="1"/>
  <c r="T33" i="1"/>
  <c r="Q33" i="1"/>
  <c r="P33" i="1"/>
  <c r="R33" i="1"/>
  <c r="S33" i="1"/>
  <c r="M33" i="1"/>
  <c r="L33" i="1"/>
  <c r="I33" i="1"/>
  <c r="H33" i="1"/>
  <c r="E33" i="1"/>
  <c r="D33" i="1"/>
  <c r="Y32" i="1"/>
  <c r="X32" i="1"/>
  <c r="Z32" i="1"/>
  <c r="AA32" i="1"/>
  <c r="U32" i="1"/>
  <c r="T32" i="1"/>
  <c r="Q32" i="1"/>
  <c r="P32" i="1"/>
  <c r="M32" i="1"/>
  <c r="L32" i="1"/>
  <c r="I32" i="1"/>
  <c r="H32" i="1"/>
  <c r="J32" i="1"/>
  <c r="K32" i="1"/>
  <c r="E32" i="1"/>
  <c r="D32" i="1"/>
  <c r="Y43" i="1"/>
  <c r="X43" i="1"/>
  <c r="U43" i="1"/>
  <c r="T43" i="1"/>
  <c r="Q43" i="1"/>
  <c r="P43" i="1"/>
  <c r="R43" i="1"/>
  <c r="S43" i="1"/>
  <c r="M43" i="1"/>
  <c r="L43" i="1"/>
  <c r="I43" i="1"/>
  <c r="H43" i="1"/>
  <c r="E43" i="1"/>
  <c r="D43" i="1"/>
  <c r="Y42" i="1"/>
  <c r="X42" i="1"/>
  <c r="U42" i="1"/>
  <c r="T42" i="1"/>
  <c r="V42" i="1"/>
  <c r="W42" i="1"/>
  <c r="Q42" i="1"/>
  <c r="P42" i="1"/>
  <c r="M42" i="1"/>
  <c r="L42" i="1"/>
  <c r="I42" i="1"/>
  <c r="H42" i="1"/>
  <c r="E42" i="1"/>
  <c r="D42" i="1"/>
  <c r="F42" i="1"/>
  <c r="G42" i="1"/>
  <c r="Y44" i="1"/>
  <c r="X44" i="1"/>
  <c r="U44" i="1"/>
  <c r="T44" i="1"/>
  <c r="Q44" i="1"/>
  <c r="P44" i="1"/>
  <c r="M44" i="1"/>
  <c r="L44" i="1"/>
  <c r="I44" i="1"/>
  <c r="H44" i="1"/>
  <c r="E44" i="1"/>
  <c r="D44" i="1"/>
  <c r="Y45" i="1"/>
  <c r="X45" i="1"/>
  <c r="U45" i="1"/>
  <c r="T45" i="1"/>
  <c r="Q45" i="1"/>
  <c r="P45" i="1"/>
  <c r="M45" i="1"/>
  <c r="L45" i="1"/>
  <c r="I45" i="1"/>
  <c r="H45" i="1"/>
  <c r="E45" i="1"/>
  <c r="D45" i="1"/>
  <c r="Y47" i="1"/>
  <c r="X47" i="1"/>
  <c r="U47" i="1"/>
  <c r="T47" i="1"/>
  <c r="Q47" i="1"/>
  <c r="P47" i="1"/>
  <c r="M47" i="1"/>
  <c r="L47" i="1"/>
  <c r="I47" i="1"/>
  <c r="H47" i="1"/>
  <c r="E47" i="1"/>
  <c r="D47" i="1"/>
  <c r="Y46" i="1"/>
  <c r="X46" i="1"/>
  <c r="U46" i="1"/>
  <c r="T46" i="1"/>
  <c r="Q46" i="1"/>
  <c r="P46" i="1"/>
  <c r="M46" i="1"/>
  <c r="L46" i="1"/>
  <c r="I46" i="1"/>
  <c r="H46" i="1"/>
  <c r="E46" i="1"/>
  <c r="D46" i="1"/>
  <c r="Y53" i="1"/>
  <c r="X53" i="1"/>
  <c r="U53" i="1"/>
  <c r="T53" i="1"/>
  <c r="Q53" i="1"/>
  <c r="P53" i="1"/>
  <c r="M53" i="1"/>
  <c r="L53" i="1"/>
  <c r="I53" i="1"/>
  <c r="H53" i="1"/>
  <c r="E53" i="1"/>
  <c r="D53" i="1"/>
  <c r="Y51" i="1"/>
  <c r="X51" i="1"/>
  <c r="U51" i="1"/>
  <c r="T51" i="1"/>
  <c r="Q51" i="1"/>
  <c r="P51" i="1"/>
  <c r="M51" i="1"/>
  <c r="L51" i="1"/>
  <c r="I51" i="1"/>
  <c r="H51" i="1"/>
  <c r="J51" i="1"/>
  <c r="K51" i="1"/>
  <c r="E51" i="1"/>
  <c r="D51" i="1"/>
  <c r="Y50" i="1"/>
  <c r="X50" i="1"/>
  <c r="U50" i="1"/>
  <c r="T50" i="1"/>
  <c r="Q50" i="1"/>
  <c r="P50" i="1"/>
  <c r="R50" i="1"/>
  <c r="S50" i="1"/>
  <c r="M50" i="1"/>
  <c r="L50" i="1"/>
  <c r="I50" i="1"/>
  <c r="H50" i="1"/>
  <c r="E50" i="1"/>
  <c r="D50" i="1"/>
  <c r="Y48" i="1"/>
  <c r="X48" i="1"/>
  <c r="U48" i="1"/>
  <c r="T48" i="1"/>
  <c r="Q48" i="1"/>
  <c r="P48" i="1"/>
  <c r="M48" i="1"/>
  <c r="L48" i="1"/>
  <c r="I48" i="1"/>
  <c r="H48" i="1"/>
  <c r="E48" i="1"/>
  <c r="D48" i="1"/>
  <c r="F48" i="1"/>
  <c r="G48" i="1"/>
  <c r="Y49" i="1"/>
  <c r="X49" i="1"/>
  <c r="Z49" i="1"/>
  <c r="AA49" i="1"/>
  <c r="U49" i="1"/>
  <c r="T49" i="1"/>
  <c r="V49" i="1"/>
  <c r="W49" i="1"/>
  <c r="Q49" i="1"/>
  <c r="P49" i="1"/>
  <c r="M49" i="1"/>
  <c r="L49" i="1"/>
  <c r="I49" i="1"/>
  <c r="H49" i="1"/>
  <c r="J49" i="1"/>
  <c r="K49" i="1"/>
  <c r="E49" i="1"/>
  <c r="D49" i="1"/>
  <c r="F49" i="1"/>
  <c r="G49" i="1"/>
  <c r="Y30" i="1"/>
  <c r="X30" i="1"/>
  <c r="U30" i="1"/>
  <c r="T30" i="1"/>
  <c r="Q30" i="1"/>
  <c r="P30" i="1"/>
  <c r="M30" i="1"/>
  <c r="L30" i="1"/>
  <c r="I30" i="1"/>
  <c r="H30" i="1"/>
  <c r="J30" i="1"/>
  <c r="K30" i="1"/>
  <c r="E30" i="1"/>
  <c r="D30" i="1"/>
  <c r="F30" i="1"/>
  <c r="G30" i="1"/>
  <c r="Y56" i="1"/>
  <c r="X56" i="1"/>
  <c r="U56" i="1"/>
  <c r="T56" i="1"/>
  <c r="Q56" i="1"/>
  <c r="P56" i="1"/>
  <c r="M56" i="1"/>
  <c r="L56" i="1"/>
  <c r="N56" i="1"/>
  <c r="O56" i="1"/>
  <c r="I56" i="1"/>
  <c r="H56" i="1"/>
  <c r="E56" i="1"/>
  <c r="D56" i="1"/>
  <c r="Y55" i="1"/>
  <c r="X55" i="1"/>
  <c r="Z55" i="1"/>
  <c r="AA55" i="1"/>
  <c r="U55" i="1"/>
  <c r="T55" i="1"/>
  <c r="Q55" i="1"/>
  <c r="P55" i="1"/>
  <c r="M55" i="1"/>
  <c r="L55" i="1"/>
  <c r="I55" i="1"/>
  <c r="H55" i="1"/>
  <c r="J55" i="1"/>
  <c r="K55" i="1"/>
  <c r="E55" i="1"/>
  <c r="D55" i="1"/>
  <c r="Y52" i="1"/>
  <c r="X52" i="1"/>
  <c r="U52" i="1"/>
  <c r="T52" i="1"/>
  <c r="Q52" i="1"/>
  <c r="P52" i="1"/>
  <c r="M52" i="1"/>
  <c r="L52" i="1"/>
  <c r="I52" i="1"/>
  <c r="H52" i="1"/>
  <c r="E52" i="1"/>
  <c r="D52" i="1"/>
  <c r="Y28" i="1"/>
  <c r="X28" i="1"/>
  <c r="U28" i="1"/>
  <c r="T28" i="1"/>
  <c r="Q28" i="1"/>
  <c r="P28" i="1"/>
  <c r="M28" i="1"/>
  <c r="L28" i="1"/>
  <c r="I28" i="1"/>
  <c r="H28" i="1"/>
  <c r="J28" i="1"/>
  <c r="K28" i="1"/>
  <c r="E28" i="1"/>
  <c r="D28" i="1"/>
  <c r="Y61" i="1"/>
  <c r="X61" i="1"/>
  <c r="U61" i="1"/>
  <c r="T61" i="1"/>
  <c r="V61" i="1"/>
  <c r="W61" i="1"/>
  <c r="Q61" i="1"/>
  <c r="P61" i="1"/>
  <c r="M61" i="1"/>
  <c r="L61" i="1"/>
  <c r="I61" i="1"/>
  <c r="H61" i="1"/>
  <c r="E61" i="1"/>
  <c r="D61" i="1"/>
  <c r="F61" i="1"/>
  <c r="G61" i="1"/>
  <c r="Y57" i="1"/>
  <c r="X57" i="1"/>
  <c r="U57" i="1"/>
  <c r="T57" i="1"/>
  <c r="Q57" i="1"/>
  <c r="P57" i="1"/>
  <c r="M57" i="1"/>
  <c r="L57" i="1"/>
  <c r="N57" i="1"/>
  <c r="O57" i="1"/>
  <c r="I57" i="1"/>
  <c r="H57" i="1"/>
  <c r="E57" i="1"/>
  <c r="D57" i="1"/>
  <c r="Y29" i="1"/>
  <c r="X29" i="1"/>
  <c r="U29" i="1"/>
  <c r="T29" i="1"/>
  <c r="V29" i="1"/>
  <c r="W29" i="1"/>
  <c r="Q29" i="1"/>
  <c r="P29" i="1"/>
  <c r="M29" i="1"/>
  <c r="L29" i="1"/>
  <c r="I29" i="1"/>
  <c r="H29" i="1"/>
  <c r="E29" i="1"/>
  <c r="D29" i="1"/>
  <c r="F29" i="1"/>
  <c r="G29" i="1"/>
  <c r="Y27" i="1"/>
  <c r="X27" i="1"/>
  <c r="U27" i="1"/>
  <c r="T27" i="1"/>
  <c r="Q27" i="1"/>
  <c r="P27" i="1"/>
  <c r="M27" i="1"/>
  <c r="L27" i="1"/>
  <c r="N27" i="1"/>
  <c r="O27" i="1"/>
  <c r="I27" i="1"/>
  <c r="H27" i="1"/>
  <c r="E27" i="1"/>
  <c r="D27" i="1"/>
  <c r="F27" i="1"/>
  <c r="G27" i="1"/>
  <c r="Y54" i="1"/>
  <c r="X54" i="1"/>
  <c r="U54" i="1"/>
  <c r="T54" i="1"/>
  <c r="Q54" i="1"/>
  <c r="P54" i="1"/>
  <c r="M54" i="1"/>
  <c r="L54" i="1"/>
  <c r="I54" i="1"/>
  <c r="H54" i="1"/>
  <c r="E54" i="1"/>
  <c r="D54" i="1"/>
  <c r="Y23" i="1"/>
  <c r="X23" i="1"/>
  <c r="U23" i="1"/>
  <c r="T23" i="1"/>
  <c r="Q23" i="1"/>
  <c r="P23" i="1"/>
  <c r="M23" i="1"/>
  <c r="L23" i="1"/>
  <c r="I23" i="1"/>
  <c r="H23" i="1"/>
  <c r="E23" i="1"/>
  <c r="D23" i="1"/>
  <c r="Y59" i="1"/>
  <c r="X59" i="1"/>
  <c r="U59" i="1"/>
  <c r="T59" i="1"/>
  <c r="Q59" i="1"/>
  <c r="P59" i="1"/>
  <c r="M59" i="1"/>
  <c r="L59" i="1"/>
  <c r="I59" i="1"/>
  <c r="H59" i="1"/>
  <c r="E59" i="1"/>
  <c r="D59" i="1"/>
  <c r="Y25" i="1"/>
  <c r="X25" i="1"/>
  <c r="U25" i="1"/>
  <c r="T25" i="1"/>
  <c r="Q25" i="1"/>
  <c r="P25" i="1"/>
  <c r="M25" i="1"/>
  <c r="L25" i="1"/>
  <c r="I25" i="1"/>
  <c r="H25" i="1"/>
  <c r="E25" i="1"/>
  <c r="D25" i="1"/>
  <c r="Y24" i="1"/>
  <c r="X24" i="1"/>
  <c r="U24" i="1"/>
  <c r="T24" i="1"/>
  <c r="Q24" i="1"/>
  <c r="P24" i="1"/>
  <c r="M24" i="1"/>
  <c r="L24" i="1"/>
  <c r="I24" i="1"/>
  <c r="H24" i="1"/>
  <c r="E24" i="1"/>
  <c r="D24" i="1"/>
  <c r="Y26" i="1"/>
  <c r="X26" i="1"/>
  <c r="U26" i="1"/>
  <c r="T26" i="1"/>
  <c r="Q26" i="1"/>
  <c r="P26" i="1"/>
  <c r="M26" i="1"/>
  <c r="L26" i="1"/>
  <c r="I26" i="1"/>
  <c r="H26" i="1"/>
  <c r="E26" i="1"/>
  <c r="D26" i="1"/>
  <c r="F26" i="1"/>
  <c r="G26" i="1"/>
  <c r="Y58" i="1"/>
  <c r="X58" i="1"/>
  <c r="U58" i="1"/>
  <c r="T58" i="1"/>
  <c r="Q58" i="1"/>
  <c r="P58" i="1"/>
  <c r="M58" i="1"/>
  <c r="L58" i="1"/>
  <c r="I58" i="1"/>
  <c r="H58" i="1"/>
  <c r="E58" i="1"/>
  <c r="D58" i="1"/>
  <c r="Y63" i="1"/>
  <c r="X63" i="1"/>
  <c r="U63" i="1"/>
  <c r="T63" i="1"/>
  <c r="Q63" i="1"/>
  <c r="P63" i="1"/>
  <c r="M63" i="1"/>
  <c r="L63" i="1"/>
  <c r="I63" i="1"/>
  <c r="H63" i="1"/>
  <c r="E63" i="1"/>
  <c r="D63" i="1"/>
  <c r="Y21" i="1"/>
  <c r="X21" i="1"/>
  <c r="U21" i="1"/>
  <c r="T21" i="1"/>
  <c r="Q21" i="1"/>
  <c r="P21" i="1"/>
  <c r="M21" i="1"/>
  <c r="L21" i="1"/>
  <c r="I21" i="1"/>
  <c r="H21" i="1"/>
  <c r="E21" i="1"/>
  <c r="D21" i="1"/>
  <c r="Y19" i="1"/>
  <c r="X19" i="1"/>
  <c r="U19" i="1"/>
  <c r="T19" i="1"/>
  <c r="Q19" i="1"/>
  <c r="P19" i="1"/>
  <c r="M19" i="1"/>
  <c r="L19" i="1"/>
  <c r="I19" i="1"/>
  <c r="H19" i="1"/>
  <c r="E19" i="1"/>
  <c r="D19" i="1"/>
  <c r="Y20" i="1"/>
  <c r="X20" i="1"/>
  <c r="U20" i="1"/>
  <c r="T20" i="1"/>
  <c r="Q20" i="1"/>
  <c r="P20" i="1"/>
  <c r="R20" i="1"/>
  <c r="S20" i="1"/>
  <c r="M20" i="1"/>
  <c r="L20" i="1"/>
  <c r="I20" i="1"/>
  <c r="H20" i="1"/>
  <c r="E20" i="1"/>
  <c r="D20" i="1"/>
  <c r="Y22" i="1"/>
  <c r="X22" i="1"/>
  <c r="U22" i="1"/>
  <c r="T22" i="1"/>
  <c r="Q22" i="1"/>
  <c r="P22" i="1"/>
  <c r="M22" i="1"/>
  <c r="L22" i="1"/>
  <c r="I22" i="1"/>
  <c r="H22" i="1"/>
  <c r="E22" i="1"/>
  <c r="D22" i="1"/>
  <c r="Y62" i="1"/>
  <c r="X62" i="1"/>
  <c r="U62" i="1"/>
  <c r="T62" i="1"/>
  <c r="Q62" i="1"/>
  <c r="P62" i="1"/>
  <c r="M62" i="1"/>
  <c r="L62" i="1"/>
  <c r="I62" i="1"/>
  <c r="H62" i="1"/>
  <c r="E62" i="1"/>
  <c r="D62" i="1"/>
  <c r="Y18" i="1"/>
  <c r="X18" i="1"/>
  <c r="U18" i="1"/>
  <c r="T18" i="1"/>
  <c r="Q18" i="1"/>
  <c r="P18" i="1"/>
  <c r="M18" i="1"/>
  <c r="L18" i="1"/>
  <c r="I18" i="1"/>
  <c r="H18" i="1"/>
  <c r="E18" i="1"/>
  <c r="D18" i="1"/>
  <c r="Y17" i="1"/>
  <c r="X17" i="1"/>
  <c r="U17" i="1"/>
  <c r="T17" i="1"/>
  <c r="Q17" i="1"/>
  <c r="P17" i="1"/>
  <c r="M17" i="1"/>
  <c r="L17" i="1"/>
  <c r="I17" i="1"/>
  <c r="H17" i="1"/>
  <c r="E17" i="1"/>
  <c r="D17" i="1"/>
  <c r="Y60" i="1"/>
  <c r="X60" i="1"/>
  <c r="U60" i="1"/>
  <c r="T60" i="1"/>
  <c r="Q60" i="1"/>
  <c r="P60" i="1"/>
  <c r="M60" i="1"/>
  <c r="L60" i="1"/>
  <c r="I60" i="1"/>
  <c r="H60" i="1"/>
  <c r="E60" i="1"/>
  <c r="D60" i="1"/>
  <c r="Y15" i="1"/>
  <c r="X15" i="1"/>
  <c r="U15" i="1"/>
  <c r="T15" i="1"/>
  <c r="Q15" i="1"/>
  <c r="P15" i="1"/>
  <c r="M15" i="1"/>
  <c r="L15" i="1"/>
  <c r="I15" i="1"/>
  <c r="H15" i="1"/>
  <c r="E15" i="1"/>
  <c r="D15" i="1"/>
  <c r="Y12" i="1"/>
  <c r="X12" i="1"/>
  <c r="U12" i="1"/>
  <c r="T12" i="1"/>
  <c r="Q12" i="1"/>
  <c r="P12" i="1"/>
  <c r="M12" i="1"/>
  <c r="L12" i="1"/>
  <c r="I12" i="1"/>
  <c r="H12" i="1"/>
  <c r="E12" i="1"/>
  <c r="D12" i="1"/>
  <c r="Y14" i="1"/>
  <c r="X14" i="1"/>
  <c r="U14" i="1"/>
  <c r="T14" i="1"/>
  <c r="Q14" i="1"/>
  <c r="P14" i="1"/>
  <c r="M14" i="1"/>
  <c r="L14" i="1"/>
  <c r="N14" i="1"/>
  <c r="O14" i="1"/>
  <c r="I14" i="1"/>
  <c r="H14" i="1"/>
  <c r="E14" i="1"/>
  <c r="D14" i="1"/>
  <c r="F14" i="1"/>
  <c r="G14" i="1"/>
  <c r="Y13" i="1"/>
  <c r="X13" i="1"/>
  <c r="U13" i="1"/>
  <c r="T13" i="1"/>
  <c r="Q13" i="1"/>
  <c r="P13" i="1"/>
  <c r="M13" i="1"/>
  <c r="L13" i="1"/>
  <c r="I13" i="1"/>
  <c r="H13" i="1"/>
  <c r="E13" i="1"/>
  <c r="D13" i="1"/>
  <c r="F13" i="1"/>
  <c r="G13" i="1"/>
  <c r="Y16" i="1"/>
  <c r="X16" i="1"/>
  <c r="U16" i="1"/>
  <c r="T16" i="1"/>
  <c r="Q16" i="1"/>
  <c r="P16" i="1"/>
  <c r="M16" i="1"/>
  <c r="L16" i="1"/>
  <c r="I16" i="1"/>
  <c r="H16" i="1"/>
  <c r="E16" i="1"/>
  <c r="D16" i="1"/>
  <c r="Y11" i="1"/>
  <c r="X11" i="1"/>
  <c r="U11" i="1"/>
  <c r="T11" i="1"/>
  <c r="Q11" i="1"/>
  <c r="P11" i="1"/>
  <c r="M11" i="1"/>
  <c r="L11" i="1"/>
  <c r="I11" i="1"/>
  <c r="H11" i="1"/>
  <c r="E11" i="1"/>
  <c r="D11" i="1"/>
  <c r="F11" i="1"/>
  <c r="G11" i="1"/>
  <c r="Y9" i="1"/>
  <c r="X9" i="1"/>
  <c r="U9" i="1"/>
  <c r="T9" i="1"/>
  <c r="Q9" i="1"/>
  <c r="P9" i="1"/>
  <c r="M9" i="1"/>
  <c r="L9" i="1"/>
  <c r="N9" i="1"/>
  <c r="O9" i="1"/>
  <c r="I9" i="1"/>
  <c r="H9" i="1"/>
  <c r="E9" i="1"/>
  <c r="D9" i="1"/>
  <c r="Y8" i="1"/>
  <c r="X8" i="1"/>
  <c r="U8" i="1"/>
  <c r="T8" i="1"/>
  <c r="Q8" i="1"/>
  <c r="P8" i="1"/>
  <c r="M8" i="1"/>
  <c r="L8" i="1"/>
  <c r="I8" i="1"/>
  <c r="H8" i="1"/>
  <c r="E8" i="1"/>
  <c r="D8" i="1"/>
  <c r="Y7" i="1"/>
  <c r="X7" i="1"/>
  <c r="U7" i="1"/>
  <c r="T7" i="1"/>
  <c r="Q7" i="1"/>
  <c r="P7" i="1"/>
  <c r="M7" i="1"/>
  <c r="L7" i="1"/>
  <c r="N7" i="1"/>
  <c r="O7" i="1"/>
  <c r="I7" i="1"/>
  <c r="H7" i="1"/>
  <c r="E7" i="1"/>
  <c r="D7" i="1"/>
  <c r="Y10" i="1"/>
  <c r="X10" i="1"/>
  <c r="U10" i="1"/>
  <c r="T10" i="1"/>
  <c r="Q10" i="1"/>
  <c r="P10" i="1"/>
  <c r="M10" i="1"/>
  <c r="L10" i="1"/>
  <c r="I10" i="1"/>
  <c r="H10" i="1"/>
  <c r="E10" i="1"/>
  <c r="D10" i="1"/>
  <c r="Y6" i="1"/>
  <c r="X6" i="1"/>
  <c r="U6" i="1"/>
  <c r="T6" i="1"/>
  <c r="Q6" i="1"/>
  <c r="P6" i="1"/>
  <c r="M6" i="1"/>
  <c r="L6" i="1"/>
  <c r="N6" i="1"/>
  <c r="O6" i="1"/>
  <c r="I6" i="1"/>
  <c r="H6" i="1"/>
  <c r="E6" i="1"/>
  <c r="D6" i="1"/>
  <c r="Y5" i="1"/>
  <c r="X5" i="1"/>
  <c r="U5" i="1"/>
  <c r="T5" i="1"/>
  <c r="Q5" i="1"/>
  <c r="P5" i="1"/>
  <c r="M5" i="1"/>
  <c r="L5" i="1"/>
  <c r="I5" i="1"/>
  <c r="H5" i="1"/>
  <c r="E5" i="1"/>
  <c r="D5" i="1"/>
  <c r="X4" i="1"/>
  <c r="Y4" i="1"/>
  <c r="Z4" i="1"/>
  <c r="AA4" i="1"/>
  <c r="U4" i="1"/>
  <c r="T4" i="1"/>
  <c r="Q4" i="1"/>
  <c r="P4" i="1"/>
  <c r="M4" i="1"/>
  <c r="L4" i="1"/>
  <c r="I4" i="1"/>
  <c r="H4" i="1"/>
  <c r="J4" i="1"/>
  <c r="K4" i="1"/>
  <c r="E4" i="1"/>
  <c r="D4" i="1"/>
  <c r="Y65" i="1"/>
  <c r="X65" i="1"/>
  <c r="U65" i="1"/>
  <c r="T65" i="1"/>
  <c r="Q65" i="1"/>
  <c r="P65" i="1"/>
  <c r="M65" i="1"/>
  <c r="L65" i="1"/>
  <c r="I65" i="1"/>
  <c r="H65" i="1"/>
  <c r="E65" i="1"/>
  <c r="D65" i="1"/>
  <c r="Y66" i="1"/>
  <c r="X66" i="1"/>
  <c r="Z66" i="1"/>
  <c r="AA66" i="1"/>
  <c r="U66" i="1"/>
  <c r="T66" i="1"/>
  <c r="Q66" i="1"/>
  <c r="P66" i="1"/>
  <c r="M66" i="1"/>
  <c r="L66" i="1"/>
  <c r="N66" i="1"/>
  <c r="O66" i="1"/>
  <c r="I66" i="1"/>
  <c r="H66" i="1"/>
  <c r="E66" i="1"/>
  <c r="D66" i="1"/>
  <c r="Y64" i="1"/>
  <c r="X64" i="1"/>
  <c r="U64" i="1"/>
  <c r="T64" i="1"/>
  <c r="Q64" i="1"/>
  <c r="P64" i="1"/>
  <c r="M64" i="1"/>
  <c r="L64" i="1"/>
  <c r="I64" i="1"/>
  <c r="H64" i="1"/>
  <c r="E64" i="1"/>
  <c r="D64" i="1"/>
  <c r="Y3" i="1"/>
  <c r="X3" i="1"/>
  <c r="U3" i="1"/>
  <c r="T3" i="1"/>
  <c r="Q3" i="1"/>
  <c r="P3" i="1"/>
  <c r="M3" i="1"/>
  <c r="L3" i="1"/>
  <c r="I3" i="1"/>
  <c r="H3" i="1"/>
  <c r="E3" i="1"/>
  <c r="D3" i="1"/>
  <c r="Z7" i="1"/>
  <c r="AA7" i="1"/>
  <c r="Z16" i="1"/>
  <c r="AA16" i="1"/>
  <c r="V14" i="1"/>
  <c r="W14" i="1"/>
  <c r="R6" i="1"/>
  <c r="S6" i="1"/>
  <c r="J11" i="1"/>
  <c r="K11" i="1"/>
  <c r="Z11" i="1"/>
  <c r="AA11" i="1"/>
  <c r="V3" i="1"/>
  <c r="W3" i="1"/>
  <c r="N64" i="1"/>
  <c r="O64" i="1"/>
  <c r="F66" i="1"/>
  <c r="G66" i="1"/>
  <c r="V66" i="1"/>
  <c r="W66" i="1"/>
  <c r="F4" i="1"/>
  <c r="G4" i="1"/>
  <c r="V4" i="1"/>
  <c r="W4" i="1"/>
  <c r="J19" i="1"/>
  <c r="K19" i="1"/>
  <c r="F5" i="1"/>
  <c r="G5" i="1"/>
  <c r="F6" i="1"/>
  <c r="G6" i="1"/>
  <c r="V7" i="1"/>
  <c r="W7" i="1"/>
  <c r="N8" i="1"/>
  <c r="O8" i="1"/>
  <c r="F9" i="1"/>
  <c r="G9" i="1"/>
  <c r="N11" i="1"/>
  <c r="O11" i="1"/>
  <c r="F16" i="1"/>
  <c r="G16" i="1"/>
  <c r="V16" i="1"/>
  <c r="W16" i="1"/>
  <c r="R58" i="1"/>
  <c r="S58" i="1"/>
  <c r="F64" i="1"/>
  <c r="G64" i="1"/>
  <c r="V5" i="1"/>
  <c r="W5" i="1"/>
  <c r="Z17" i="1"/>
  <c r="AA17" i="1"/>
  <c r="J62" i="1"/>
  <c r="K62" i="1"/>
  <c r="J21" i="1"/>
  <c r="K21" i="1"/>
  <c r="R63" i="1"/>
  <c r="S63" i="1"/>
  <c r="Z58" i="1"/>
  <c r="AA58" i="1"/>
  <c r="R26" i="1"/>
  <c r="S26" i="1"/>
  <c r="R25" i="1"/>
  <c r="S25" i="1"/>
  <c r="Z29" i="1"/>
  <c r="AA29" i="1"/>
  <c r="N5" i="1"/>
  <c r="O5" i="1"/>
  <c r="Z19" i="1"/>
  <c r="AA19" i="1"/>
  <c r="R24" i="1"/>
  <c r="S24" i="1"/>
  <c r="J23" i="1"/>
  <c r="K23" i="1"/>
  <c r="Z23" i="1"/>
  <c r="AA23" i="1"/>
  <c r="F28" i="1"/>
  <c r="G28" i="1"/>
  <c r="N52" i="1"/>
  <c r="O52" i="1"/>
  <c r="R17" i="1"/>
  <c r="S17" i="1"/>
  <c r="R55" i="1"/>
  <c r="S55" i="1"/>
  <c r="J44" i="1"/>
  <c r="K44" i="1"/>
  <c r="N18" i="1"/>
  <c r="O18" i="1"/>
  <c r="F62" i="1"/>
  <c r="G62" i="1"/>
  <c r="N22" i="1"/>
  <c r="O22" i="1"/>
  <c r="V20" i="1"/>
  <c r="W20" i="1"/>
  <c r="N63" i="1"/>
  <c r="O63" i="1"/>
  <c r="F58" i="1"/>
  <c r="G58" i="1"/>
  <c r="V24" i="1"/>
  <c r="W24" i="1"/>
  <c r="N25" i="1"/>
  <c r="O25" i="1"/>
  <c r="F59" i="1"/>
  <c r="G59" i="1"/>
  <c r="V59" i="1"/>
  <c r="W59" i="1"/>
  <c r="F54" i="1"/>
  <c r="G54" i="1"/>
  <c r="R3" i="1"/>
  <c r="S3" i="1"/>
  <c r="J64" i="1"/>
  <c r="K64" i="1"/>
  <c r="N4" i="1"/>
  <c r="O4" i="1"/>
  <c r="R5" i="1"/>
  <c r="S5" i="1"/>
  <c r="J6" i="1"/>
  <c r="K6" i="1"/>
  <c r="Z6" i="1"/>
  <c r="AA6" i="1"/>
  <c r="R10" i="1"/>
  <c r="S10" i="1"/>
  <c r="J7" i="1"/>
  <c r="K7" i="1"/>
  <c r="N12" i="1"/>
  <c r="O12" i="1"/>
  <c r="V15" i="1"/>
  <c r="W15" i="1"/>
  <c r="N60" i="1"/>
  <c r="O60" i="1"/>
  <c r="J22" i="1"/>
  <c r="K22" i="1"/>
  <c r="R21" i="1"/>
  <c r="S21" i="1"/>
  <c r="V25" i="1"/>
  <c r="W25" i="1"/>
  <c r="F57" i="1"/>
  <c r="G57" i="1"/>
  <c r="R51" i="1"/>
  <c r="S51" i="1"/>
  <c r="Z44" i="1"/>
  <c r="AA44" i="1"/>
  <c r="R42" i="1"/>
  <c r="S42" i="1"/>
  <c r="J9" i="1"/>
  <c r="K9" i="1"/>
  <c r="J33" i="1"/>
  <c r="K33" i="1"/>
  <c r="V46" i="1"/>
  <c r="W46" i="1"/>
  <c r="V8" i="1"/>
  <c r="W8" i="1"/>
  <c r="Z20" i="1"/>
  <c r="AA20" i="1"/>
  <c r="R19" i="1"/>
  <c r="S19" i="1"/>
  <c r="F24" i="1"/>
  <c r="G24" i="1"/>
  <c r="R49" i="1"/>
  <c r="S49" i="1"/>
  <c r="N43" i="1"/>
  <c r="O43" i="1"/>
  <c r="F45" i="1"/>
  <c r="G45" i="1"/>
  <c r="V12" i="1"/>
  <c r="W12" i="1"/>
  <c r="R53" i="1"/>
  <c r="S53" i="1"/>
  <c r="R44" i="1"/>
  <c r="S44" i="1"/>
  <c r="R66" i="1"/>
  <c r="S66" i="1"/>
  <c r="R13" i="1"/>
  <c r="S13" i="1"/>
  <c r="Z43" i="1"/>
  <c r="AA43" i="1"/>
  <c r="J27" i="1"/>
  <c r="K27" i="1"/>
  <c r="N47" i="1"/>
  <c r="O47" i="1"/>
  <c r="N65" i="1"/>
  <c r="O65" i="1"/>
  <c r="V64" i="1"/>
  <c r="W64" i="1"/>
  <c r="V6" i="1"/>
  <c r="W6" i="1"/>
  <c r="N10" i="1"/>
  <c r="O10" i="1"/>
  <c r="F7" i="1"/>
  <c r="G7" i="1"/>
  <c r="J12" i="1"/>
  <c r="K12" i="1"/>
  <c r="R15" i="1"/>
  <c r="S15" i="1"/>
  <c r="J60" i="1"/>
  <c r="K60" i="1"/>
  <c r="Z60" i="1"/>
  <c r="AA60" i="1"/>
  <c r="F18" i="1"/>
  <c r="G18" i="1"/>
  <c r="V19" i="1"/>
  <c r="W19" i="1"/>
  <c r="F50" i="1"/>
  <c r="G50" i="1"/>
  <c r="N46" i="1"/>
  <c r="O46" i="1"/>
  <c r="V47" i="1"/>
  <c r="W47" i="1"/>
  <c r="N42" i="1"/>
  <c r="O42" i="1"/>
  <c r="J39" i="1"/>
  <c r="K39" i="1"/>
  <c r="N3" i="1"/>
  <c r="O3" i="1"/>
  <c r="J66" i="1"/>
  <c r="K66" i="1"/>
  <c r="R7" i="1"/>
  <c r="S7" i="1"/>
  <c r="J8" i="1"/>
  <c r="K8" i="1"/>
  <c r="V11" i="1"/>
  <c r="W11" i="1"/>
  <c r="N16" i="1"/>
  <c r="O16" i="1"/>
  <c r="Z12" i="1"/>
  <c r="AA12" i="1"/>
  <c r="R62" i="1"/>
  <c r="S62" i="1"/>
  <c r="N20" i="1"/>
  <c r="O20" i="1"/>
  <c r="F19" i="1"/>
  <c r="G19" i="1"/>
  <c r="Z21" i="1"/>
  <c r="AA21" i="1"/>
  <c r="V58" i="1"/>
  <c r="W58" i="1"/>
  <c r="N26" i="1"/>
  <c r="O26" i="1"/>
  <c r="J25" i="1"/>
  <c r="K25" i="1"/>
  <c r="R54" i="1"/>
  <c r="S54" i="1"/>
  <c r="Z27" i="1"/>
  <c r="AA27" i="1"/>
  <c r="R29" i="1"/>
  <c r="S29" i="1"/>
  <c r="V57" i="1"/>
  <c r="W57" i="1"/>
  <c r="V28" i="1"/>
  <c r="W28" i="1"/>
  <c r="J56" i="1"/>
  <c r="K56" i="1"/>
  <c r="N30" i="1"/>
  <c r="O30" i="1"/>
  <c r="N48" i="1"/>
  <c r="O48" i="1"/>
  <c r="J46" i="1"/>
  <c r="K46" i="1"/>
  <c r="Z46" i="1"/>
  <c r="AA46" i="1"/>
  <c r="J45" i="1"/>
  <c r="K45" i="1"/>
  <c r="Z45" i="1"/>
  <c r="AA45" i="1"/>
  <c r="V32" i="1"/>
  <c r="W32" i="1"/>
  <c r="N33" i="1"/>
  <c r="O33" i="1"/>
  <c r="J34" i="1"/>
  <c r="K34" i="1"/>
  <c r="J36" i="1"/>
  <c r="K36" i="1"/>
  <c r="Z36" i="1"/>
  <c r="AA36" i="1"/>
  <c r="R37" i="1"/>
  <c r="S37" i="1"/>
  <c r="Z38" i="1"/>
  <c r="AA38" i="1"/>
  <c r="R9" i="1"/>
  <c r="S9" i="1"/>
  <c r="Z28" i="1"/>
  <c r="AA28" i="1"/>
  <c r="R48" i="1"/>
  <c r="S48" i="1"/>
  <c r="N38" i="1"/>
  <c r="O38" i="1"/>
  <c r="Z64" i="1"/>
  <c r="AA64" i="1"/>
  <c r="V9" i="1"/>
  <c r="W9" i="1"/>
  <c r="V13" i="1"/>
  <c r="W13" i="1"/>
  <c r="R60" i="1"/>
  <c r="S60" i="1"/>
  <c r="J17" i="1"/>
  <c r="K17" i="1"/>
  <c r="F20" i="1"/>
  <c r="G20" i="1"/>
  <c r="J24" i="1"/>
  <c r="K24" i="1"/>
  <c r="Z59" i="1"/>
  <c r="AA59" i="1"/>
  <c r="R23" i="1"/>
  <c r="S23" i="1"/>
  <c r="R52" i="1"/>
  <c r="S52" i="1"/>
  <c r="Z53" i="1"/>
  <c r="AA53" i="1"/>
  <c r="R46" i="1"/>
  <c r="S46" i="1"/>
  <c r="V44" i="1"/>
  <c r="W44" i="1"/>
  <c r="F43" i="1"/>
  <c r="G43" i="1"/>
  <c r="V43" i="1"/>
  <c r="W43" i="1"/>
  <c r="R36" i="1"/>
  <c r="S36" i="1"/>
  <c r="Z37" i="1"/>
  <c r="AA37" i="1"/>
  <c r="R38" i="1"/>
  <c r="S38" i="1"/>
  <c r="N40" i="1"/>
  <c r="O40" i="1"/>
  <c r="J57" i="1"/>
  <c r="K57" i="1"/>
  <c r="V17" i="1"/>
  <c r="W17" i="1"/>
  <c r="Z42" i="1"/>
  <c r="AA42" i="1"/>
  <c r="F3" i="1"/>
  <c r="G3" i="1"/>
  <c r="F65" i="1"/>
  <c r="G65" i="1"/>
  <c r="V65" i="1"/>
  <c r="W65" i="1"/>
  <c r="F10" i="1"/>
  <c r="G10" i="1"/>
  <c r="V10" i="1"/>
  <c r="W10" i="1"/>
  <c r="Z9" i="1"/>
  <c r="AA9" i="1"/>
  <c r="J13" i="1"/>
  <c r="K13" i="1"/>
  <c r="Z13" i="1"/>
  <c r="AA13" i="1"/>
  <c r="F12" i="1"/>
  <c r="G12" i="1"/>
  <c r="N17" i="1"/>
  <c r="O17" i="1"/>
  <c r="Z62" i="1"/>
  <c r="AA62" i="1"/>
  <c r="R22" i="1"/>
  <c r="S22" i="1"/>
  <c r="J20" i="1"/>
  <c r="K20" i="1"/>
  <c r="J63" i="1"/>
  <c r="K63" i="1"/>
  <c r="Z63" i="1"/>
  <c r="AA63" i="1"/>
  <c r="N24" i="1"/>
  <c r="O24" i="1"/>
  <c r="F25" i="1"/>
  <c r="G25" i="1"/>
  <c r="V23" i="1"/>
  <c r="W23" i="1"/>
  <c r="N54" i="1"/>
  <c r="O54" i="1"/>
  <c r="R27" i="1"/>
  <c r="S27" i="1"/>
  <c r="J29" i="1"/>
  <c r="K29" i="1"/>
  <c r="N28" i="1"/>
  <c r="O28" i="1"/>
  <c r="V52" i="1"/>
  <c r="W52" i="1"/>
  <c r="N55" i="1"/>
  <c r="O55" i="1"/>
  <c r="Z30" i="1"/>
  <c r="AA30" i="1"/>
  <c r="F51" i="1"/>
  <c r="G51" i="1"/>
  <c r="Z31" i="1"/>
  <c r="AA31" i="1"/>
  <c r="V54" i="1"/>
  <c r="W54" i="1"/>
  <c r="R16" i="1"/>
  <c r="S16" i="1"/>
  <c r="V35" i="1"/>
  <c r="W35" i="1"/>
  <c r="J3" i="1"/>
  <c r="K3" i="1"/>
  <c r="J65" i="1"/>
  <c r="K65" i="1"/>
  <c r="F8" i="1"/>
  <c r="G8" i="1"/>
  <c r="N13" i="1"/>
  <c r="O13" i="1"/>
  <c r="N62" i="1"/>
  <c r="O62" i="1"/>
  <c r="V21" i="1"/>
  <c r="W21" i="1"/>
  <c r="J26" i="1"/>
  <c r="K26" i="1"/>
  <c r="Z26" i="1"/>
  <c r="AA26" i="1"/>
  <c r="V27" i="1"/>
  <c r="W27" i="1"/>
  <c r="J61" i="1"/>
  <c r="K61" i="1"/>
  <c r="J52" i="1"/>
  <c r="K52" i="1"/>
  <c r="Z48" i="1"/>
  <c r="AA48" i="1"/>
  <c r="N53" i="1"/>
  <c r="O53" i="1"/>
  <c r="N44" i="1"/>
  <c r="O44" i="1"/>
  <c r="R32" i="1"/>
  <c r="S32" i="1"/>
  <c r="V33" i="1"/>
  <c r="W33" i="1"/>
  <c r="F34" i="1"/>
  <c r="G34" i="1"/>
  <c r="V34" i="1"/>
  <c r="W34" i="1"/>
  <c r="N35" i="1"/>
  <c r="O35" i="1"/>
  <c r="F36" i="1"/>
  <c r="G36" i="1"/>
  <c r="N37" i="1"/>
  <c r="O37" i="1"/>
  <c r="F38" i="1"/>
  <c r="G38" i="1"/>
  <c r="V38" i="1"/>
  <c r="W38" i="1"/>
  <c r="R64" i="1"/>
  <c r="S64" i="1"/>
  <c r="R65" i="1"/>
  <c r="S65" i="1"/>
  <c r="R4" i="1"/>
  <c r="S4" i="1"/>
  <c r="J16" i="1"/>
  <c r="K16" i="1"/>
  <c r="J14" i="1"/>
  <c r="K14" i="1"/>
  <c r="N15" i="1"/>
  <c r="O15" i="1"/>
  <c r="F60" i="1"/>
  <c r="G60" i="1"/>
  <c r="V60" i="1"/>
  <c r="W60" i="1"/>
  <c r="V18" i="1"/>
  <c r="W18" i="1"/>
  <c r="Z25" i="1"/>
  <c r="AA25" i="1"/>
  <c r="N59" i="1"/>
  <c r="O59" i="1"/>
  <c r="F23" i="1"/>
  <c r="G23" i="1"/>
  <c r="N29" i="1"/>
  <c r="O29" i="1"/>
  <c r="Z57" i="1"/>
  <c r="AA57" i="1"/>
  <c r="R61" i="1"/>
  <c r="S61" i="1"/>
  <c r="F55" i="1"/>
  <c r="G55" i="1"/>
  <c r="V55" i="1"/>
  <c r="W55" i="1"/>
  <c r="Z56" i="1"/>
  <c r="AA56" i="1"/>
  <c r="V48" i="1"/>
  <c r="W48" i="1"/>
  <c r="J50" i="1"/>
  <c r="K50" i="1"/>
  <c r="Z50" i="1"/>
  <c r="AA50" i="1"/>
  <c r="N51" i="1"/>
  <c r="O51" i="1"/>
  <c r="F53" i="1"/>
  <c r="G53" i="1"/>
  <c r="F32" i="1"/>
  <c r="G32" i="1"/>
  <c r="N34" i="1"/>
  <c r="O34" i="1"/>
  <c r="V36" i="1"/>
  <c r="W36" i="1"/>
  <c r="V45" i="1"/>
  <c r="W45" i="1"/>
  <c r="R59" i="1"/>
  <c r="S59" i="1"/>
  <c r="J5" i="1"/>
  <c r="K5" i="1"/>
  <c r="N21" i="1"/>
  <c r="O21" i="1"/>
  <c r="R57" i="1"/>
  <c r="S57" i="1"/>
  <c r="J53" i="1"/>
  <c r="K53" i="1"/>
  <c r="Z8" i="1"/>
  <c r="AA8" i="1"/>
  <c r="R12" i="1"/>
  <c r="S12" i="1"/>
  <c r="F15" i="1"/>
  <c r="G15" i="1"/>
  <c r="F63" i="1"/>
  <c r="G63" i="1"/>
  <c r="J58" i="1"/>
  <c r="K58" i="1"/>
  <c r="Z54" i="1"/>
  <c r="AA54" i="1"/>
  <c r="F37" i="1"/>
  <c r="G37" i="1"/>
  <c r="N39" i="1"/>
  <c r="O39" i="1"/>
  <c r="F41" i="1"/>
  <c r="G41" i="1"/>
  <c r="J10" i="1"/>
  <c r="K10" i="1"/>
  <c r="Z18" i="1"/>
  <c r="AA18" i="1"/>
  <c r="V26" i="1"/>
  <c r="W26" i="1"/>
  <c r="F22" i="1"/>
  <c r="G22" i="1"/>
  <c r="Z65" i="1"/>
  <c r="AA65" i="1"/>
  <c r="Z5" i="1"/>
  <c r="AA5" i="1"/>
  <c r="Z10" i="1"/>
  <c r="AA10" i="1"/>
  <c r="R14" i="1"/>
  <c r="S14" i="1"/>
  <c r="J15" i="1"/>
  <c r="K15" i="1"/>
  <c r="Z15" i="1"/>
  <c r="AA15" i="1"/>
  <c r="R18" i="1"/>
  <c r="S18" i="1"/>
  <c r="V22" i="1"/>
  <c r="W22" i="1"/>
  <c r="F21" i="1"/>
  <c r="G21" i="1"/>
  <c r="V63" i="1"/>
  <c r="W63" i="1"/>
  <c r="N58" i="1"/>
  <c r="O58" i="1"/>
  <c r="J59" i="1"/>
  <c r="K59" i="1"/>
  <c r="V51" i="1"/>
  <c r="W51" i="1"/>
  <c r="F47" i="1"/>
  <c r="G47" i="1"/>
  <c r="R39" i="1"/>
  <c r="S39" i="1"/>
  <c r="J41" i="1"/>
  <c r="K41" i="1"/>
  <c r="Z41" i="1"/>
  <c r="AA41" i="1"/>
  <c r="Z24" i="1"/>
  <c r="AA24" i="1"/>
  <c r="J54" i="1"/>
  <c r="K54" i="1"/>
  <c r="V53" i="1"/>
  <c r="W53" i="1"/>
  <c r="Z14" i="1"/>
  <c r="AA14" i="1"/>
  <c r="N50" i="1"/>
  <c r="O50" i="1"/>
  <c r="Z3" i="1"/>
  <c r="AA3" i="1"/>
  <c r="R8" i="1"/>
  <c r="S8" i="1"/>
  <c r="R11" i="1"/>
  <c r="S11" i="1"/>
  <c r="F17" i="1"/>
  <c r="G17" i="1"/>
  <c r="V62" i="1"/>
  <c r="W62" i="1"/>
  <c r="Z22" i="1"/>
  <c r="AA22" i="1"/>
  <c r="N23" i="1"/>
  <c r="O23" i="1"/>
  <c r="Z61" i="1"/>
  <c r="AA61" i="1"/>
  <c r="F56" i="1"/>
  <c r="G56" i="1"/>
  <c r="V56" i="1"/>
  <c r="W56" i="1"/>
  <c r="V30" i="1"/>
  <c r="W30" i="1"/>
  <c r="N49" i="1"/>
  <c r="O49" i="1"/>
  <c r="V50" i="1"/>
  <c r="W50" i="1"/>
  <c r="Z51" i="1"/>
  <c r="AA51" i="1"/>
  <c r="F46" i="1"/>
  <c r="G46" i="1"/>
  <c r="N45" i="1"/>
  <c r="O45" i="1"/>
  <c r="F44" i="1"/>
  <c r="G44" i="1"/>
  <c r="F33" i="1"/>
  <c r="G33" i="1"/>
  <c r="F31" i="1"/>
  <c r="G31" i="1"/>
  <c r="Z34" i="1"/>
  <c r="AA34" i="1"/>
  <c r="R35" i="1"/>
  <c r="S35" i="1"/>
  <c r="F39" i="1"/>
  <c r="G39" i="1"/>
  <c r="J40" i="1"/>
  <c r="K40" i="1"/>
  <c r="N19" i="1"/>
  <c r="O19" i="1"/>
  <c r="N61" i="1"/>
  <c r="O61" i="1"/>
  <c r="N32" i="1"/>
  <c r="O32" i="1"/>
  <c r="Z35" i="1"/>
  <c r="AA35" i="1"/>
  <c r="R41" i="1"/>
  <c r="S41" i="1"/>
  <c r="J18" i="1"/>
  <c r="K18" i="1"/>
  <c r="J48" i="1"/>
  <c r="K48" i="1"/>
  <c r="J47" i="1"/>
  <c r="K47" i="1"/>
  <c r="Z47" i="1"/>
  <c r="AA47" i="1"/>
  <c r="Z33" i="1"/>
  <c r="AA33" i="1"/>
  <c r="R28" i="1"/>
  <c r="S28" i="1"/>
  <c r="F52" i="1"/>
  <c r="G52" i="1"/>
  <c r="R56" i="1"/>
  <c r="S56" i="1"/>
  <c r="R30" i="1"/>
  <c r="S30" i="1"/>
  <c r="J42" i="1"/>
  <c r="K42" i="1"/>
  <c r="J43" i="1"/>
  <c r="K43" i="1"/>
  <c r="Z39" i="1"/>
  <c r="AA39" i="1"/>
  <c r="Z40" i="1"/>
  <c r="AA40" i="1"/>
  <c r="Z52" i="1"/>
  <c r="AA52" i="1"/>
  <c r="R47" i="1"/>
  <c r="S47" i="1"/>
  <c r="R45" i="1"/>
  <c r="S45" i="1"/>
  <c r="J37" i="1"/>
  <c r="K37" i="1"/>
  <c r="J38" i="1"/>
  <c r="K38" i="1"/>
</calcChain>
</file>

<file path=xl/sharedStrings.xml><?xml version="1.0" encoding="utf-8"?>
<sst xmlns="http://schemas.openxmlformats.org/spreadsheetml/2006/main" count="435" uniqueCount="87">
  <si>
    <t>Team</t>
  </si>
  <si>
    <t>Seed</t>
  </si>
  <si>
    <t>Region</t>
  </si>
  <si>
    <t>Odds</t>
  </si>
  <si>
    <t>WPW</t>
  </si>
  <si>
    <t>Gain</t>
  </si>
  <si>
    <t>Adj Gain</t>
  </si>
  <si>
    <t>Win Round of 64</t>
  </si>
  <si>
    <t>Win Round of 32</t>
  </si>
  <si>
    <t>Win Sweet Sixteen</t>
  </si>
  <si>
    <t>Win Elite Eight</t>
  </si>
  <si>
    <t>Win Final Four</t>
  </si>
  <si>
    <t>Win National Championship</t>
  </si>
  <si>
    <t>Houston</t>
  </si>
  <si>
    <t>Midwest</t>
  </si>
  <si>
    <t>Florida</t>
  </si>
  <si>
    <t>West</t>
  </si>
  <si>
    <t>Duke</t>
  </si>
  <si>
    <t>East</t>
  </si>
  <si>
    <t>Auburn</t>
  </si>
  <si>
    <t>South</t>
  </si>
  <si>
    <t>St. John's</t>
  </si>
  <si>
    <t>Michigan State</t>
  </si>
  <si>
    <t>Tennessee</t>
  </si>
  <si>
    <t>Alabama</t>
  </si>
  <si>
    <t>Maryland</t>
  </si>
  <si>
    <t>Texas Tech</t>
  </si>
  <si>
    <t>Arizona</t>
  </si>
  <si>
    <t>Clemson</t>
  </si>
  <si>
    <t>Wisconsin</t>
  </si>
  <si>
    <t>Gonzaga</t>
  </si>
  <si>
    <t>Iowa State</t>
  </si>
  <si>
    <t>Saint Mary's</t>
  </si>
  <si>
    <t>Louisville</t>
  </si>
  <si>
    <t>UConn</t>
  </si>
  <si>
    <t>BYU</t>
  </si>
  <si>
    <t>Illinois</t>
  </si>
  <si>
    <t>Michigan</t>
  </si>
  <si>
    <t>Texas A&amp;M</t>
  </si>
  <si>
    <t>North Carolina</t>
  </si>
  <si>
    <t>VCU</t>
  </si>
  <si>
    <t>Marquette</t>
  </si>
  <si>
    <t>Kentucky</t>
  </si>
  <si>
    <t>Oregon</t>
  </si>
  <si>
    <t>Creighton</t>
  </si>
  <si>
    <t>Drake</t>
  </si>
  <si>
    <t>UC San Diego</t>
  </si>
  <si>
    <t>Purdue</t>
  </si>
  <si>
    <t>New Mexico</t>
  </si>
  <si>
    <t>Memphis</t>
  </si>
  <si>
    <t>Xavier</t>
  </si>
  <si>
    <t>Baylor</t>
  </si>
  <si>
    <t>UCLA</t>
  </si>
  <si>
    <t>Kansas</t>
  </si>
  <si>
    <t>Colorado State</t>
  </si>
  <si>
    <t>Ole Miss</t>
  </si>
  <si>
    <t>Missouri</t>
  </si>
  <si>
    <t>Georgia</t>
  </si>
  <si>
    <t>Utah State</t>
  </si>
  <si>
    <t>Mississippi State</t>
  </si>
  <si>
    <t>Liberty</t>
  </si>
  <si>
    <t>Oklahoma</t>
  </si>
  <si>
    <t>Arkansas</t>
  </si>
  <si>
    <t>Yale</t>
  </si>
  <si>
    <t>McNeese</t>
  </si>
  <si>
    <t>High Point</t>
  </si>
  <si>
    <t>Grand Canyon</t>
  </si>
  <si>
    <t>Vanderbilt</t>
  </si>
  <si>
    <t>Lipscomb</t>
  </si>
  <si>
    <t>Troy</t>
  </si>
  <si>
    <t>Montana</t>
  </si>
  <si>
    <t>Robert Morris</t>
  </si>
  <si>
    <t>Akron</t>
  </si>
  <si>
    <t>Mount St. Mary's</t>
  </si>
  <si>
    <t>Wofford</t>
  </si>
  <si>
    <t>SIU Edwardsville</t>
  </si>
  <si>
    <t>Bryant</t>
  </si>
  <si>
    <t>Alabama St.</t>
  </si>
  <si>
    <t>UNC Wilmington</t>
  </si>
  <si>
    <t>Omaha</t>
  </si>
  <si>
    <t>Norfolk State</t>
  </si>
  <si>
    <t>Round_of_32</t>
  </si>
  <si>
    <t>Sweet_16</t>
  </si>
  <si>
    <t>Elite_8</t>
  </si>
  <si>
    <t>Final_Four</t>
  </si>
  <si>
    <t>National_Championship</t>
  </si>
  <si>
    <t>National_Champion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</si>
</sst>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CDE"/>
        <bgColor rgb="FF009CDE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10" fontId="3" fillId="0" borderId="0" xfId="0" applyNumberFormat="1" applyFont="1"/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10" fontId="2" fillId="0" borderId="0" xfId="0" applyNumberFormat="1" applyFont="1" applyBorder="1" applyAlignment="1">
      <alignment horizontal="center"/>
    </xf>
    <xf numFmtId="0" fontId="4" fillId="0" borderId="0" xfId="0" applyFont="1" applyBorder="1"/>
    <xf numFmtId="10" fontId="4" fillId="3" borderId="0" xfId="0" applyNumberFormat="1" applyFont="1" applyFill="1" applyBorder="1" applyAlignment="1">
      <alignment horizontal="center"/>
    </xf>
    <xf numFmtId="1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11" fontId="3" fillId="0" borderId="0" xfId="0" applyNumberFormat="1" applyFont="1" applyBorder="1"/>
    <xf numFmtId="10" fontId="2" fillId="0" borderId="0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">
    <dxf>
      <fill>
        <patternFill patternType="solid">
          <fgColor rgb="FFCEB888"/>
          <bgColor rgb="FFCEB888"/>
        </patternFill>
      </fill>
    </dxf>
    <dxf>
      <font>
        <color rgb="FF000000"/>
      </font>
      <fill>
        <patternFill patternType="solid">
          <fgColor rgb="FFC8102E"/>
          <bgColor rgb="FFC8102E"/>
        </patternFill>
      </fill>
    </dxf>
    <dxf>
      <font>
        <color theme="1"/>
      </font>
      <fill>
        <patternFill patternType="solid">
          <fgColor rgb="FF62C6F2"/>
          <bgColor rgb="FF62C6F2"/>
        </patternFill>
      </fill>
    </dxf>
    <dxf>
      <font>
        <color theme="0"/>
      </font>
      <fill>
        <patternFill patternType="solid">
          <fgColor rgb="FF000E2F"/>
          <bgColor rgb="FF000E2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66"/>
  <sheetViews>
    <sheetView tabSelected="1" defaultGridColor="0" colorId="9" workbookViewId="0">
      <pane ySplit="2" topLeftCell="A3" activePane="bottomLeft" state="frozen"/>
      <selection pane="bottomLeft" activeCell="D17" sqref="D17"/>
    </sheetView>
  </sheetViews>
  <sheetFormatPr baseColWidth="10" defaultColWidth="12.6640625" defaultRowHeight="15.75" customHeight="1" x14ac:dyDescent="0.15"/>
  <cols>
    <col min="1" max="1" width="14" style="11" bestFit="1" customWidth="1"/>
    <col min="2" max="2" width="10.33203125" style="11" bestFit="1" customWidth="1"/>
    <col min="3" max="3" width="11.6640625" style="11" bestFit="1" customWidth="1"/>
    <col min="4" max="5" width="10.33203125" style="11" bestFit="1" customWidth="1"/>
    <col min="6" max="6" width="9.83203125" style="11" bestFit="1" customWidth="1"/>
    <col min="7" max="7" width="12.83203125" style="18" bestFit="1" customWidth="1"/>
    <col min="8" max="9" width="10.33203125" style="11" bestFit="1" customWidth="1"/>
    <col min="10" max="10" width="9.83203125" style="11" bestFit="1" customWidth="1"/>
    <col min="11" max="11" width="12.83203125" style="18" bestFit="1" customWidth="1"/>
    <col min="12" max="13" width="10.33203125" style="11" bestFit="1" customWidth="1"/>
    <col min="14" max="14" width="9.83203125" style="11" bestFit="1" customWidth="1"/>
    <col min="15" max="15" width="12.83203125" style="18" bestFit="1" customWidth="1"/>
    <col min="16" max="17" width="10.33203125" style="11" bestFit="1" customWidth="1"/>
    <col min="18" max="18" width="9.83203125" style="11" bestFit="1" customWidth="1"/>
    <col min="19" max="19" width="12.83203125" style="18" bestFit="1" customWidth="1"/>
    <col min="20" max="21" width="10.33203125" style="11" bestFit="1" customWidth="1"/>
    <col min="22" max="22" width="9.83203125" style="11" bestFit="1" customWidth="1"/>
    <col min="23" max="23" width="12.83203125" style="18" bestFit="1" customWidth="1"/>
    <col min="24" max="25" width="10.33203125" style="11" bestFit="1" customWidth="1"/>
    <col min="26" max="26" width="9.83203125" style="11" bestFit="1" customWidth="1"/>
    <col min="27" max="27" width="12.83203125" style="18" bestFit="1" customWidth="1"/>
    <col min="28" max="16384" width="12.6640625" style="11"/>
  </cols>
  <sheetData>
    <row r="1" spans="1:28" ht="15.75" customHeight="1" x14ac:dyDescent="0.15">
      <c r="A1" s="5"/>
      <c r="B1" s="5"/>
      <c r="C1" s="5"/>
      <c r="D1" s="6" t="s">
        <v>7</v>
      </c>
      <c r="E1" s="7"/>
      <c r="F1" s="7"/>
      <c r="G1" s="7"/>
      <c r="H1" s="6" t="s">
        <v>8</v>
      </c>
      <c r="I1" s="7"/>
      <c r="J1" s="7"/>
      <c r="K1" s="7"/>
      <c r="L1" s="6" t="s">
        <v>9</v>
      </c>
      <c r="M1" s="7"/>
      <c r="N1" s="7"/>
      <c r="O1" s="7"/>
      <c r="P1" s="6" t="s">
        <v>10</v>
      </c>
      <c r="Q1" s="7"/>
      <c r="R1" s="7"/>
      <c r="S1" s="7"/>
      <c r="T1" s="6" t="s">
        <v>11</v>
      </c>
      <c r="U1" s="7"/>
      <c r="V1" s="7"/>
      <c r="W1" s="7"/>
      <c r="X1" s="6" t="s">
        <v>12</v>
      </c>
      <c r="Y1" s="7"/>
      <c r="Z1" s="7"/>
      <c r="AA1" s="7"/>
      <c r="AB1" s="13"/>
    </row>
    <row r="2" spans="1:28" ht="15.75" customHeight="1" x14ac:dyDescent="0.1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3" t="s">
        <v>5</v>
      </c>
      <c r="G2" s="14" t="s">
        <v>6</v>
      </c>
      <c r="H2" s="4" t="s">
        <v>3</v>
      </c>
      <c r="I2" s="4" t="s">
        <v>4</v>
      </c>
      <c r="J2" s="3" t="s">
        <v>5</v>
      </c>
      <c r="K2" s="14" t="s">
        <v>6</v>
      </c>
      <c r="L2" s="4" t="s">
        <v>3</v>
      </c>
      <c r="M2" s="4" t="s">
        <v>4</v>
      </c>
      <c r="N2" s="3" t="s">
        <v>5</v>
      </c>
      <c r="O2" s="14" t="s">
        <v>6</v>
      </c>
      <c r="P2" s="4" t="s">
        <v>3</v>
      </c>
      <c r="Q2" s="4" t="s">
        <v>4</v>
      </c>
      <c r="R2" s="3" t="s">
        <v>5</v>
      </c>
      <c r="S2" s="14" t="s">
        <v>6</v>
      </c>
      <c r="T2" s="4" t="s">
        <v>3</v>
      </c>
      <c r="U2" s="4" t="s">
        <v>4</v>
      </c>
      <c r="V2" s="3" t="s">
        <v>5</v>
      </c>
      <c r="W2" s="14" t="s">
        <v>6</v>
      </c>
      <c r="X2" s="4" t="s">
        <v>3</v>
      </c>
      <c r="Y2" s="4" t="s">
        <v>4</v>
      </c>
      <c r="Z2" s="3" t="s">
        <v>5</v>
      </c>
      <c r="AA2" s="14" t="s">
        <v>6</v>
      </c>
      <c r="AB2" s="17"/>
    </row>
    <row r="3" spans="1:28" ht="15.75" customHeight="1" x14ac:dyDescent="0.15">
      <c r="A3" s="5" t="s">
        <v>13</v>
      </c>
      <c r="B3" s="5">
        <v>1</v>
      </c>
      <c r="C3" s="5" t="s">
        <v>14</v>
      </c>
      <c r="D3" s="8">
        <f>VLOOKUP(A3,Odds!A18:I18,4,FALSE)</f>
        <v>0.97989999999999999</v>
      </c>
      <c r="E3" s="9">
        <f>VLOOKUP(A3,'Yahoo WPW'!A18:I18,4,FALSE)</f>
        <v>0.95669999999999999</v>
      </c>
      <c r="F3" s="9">
        <f>D3-E3</f>
        <v>2.3199999999999998E-2</v>
      </c>
      <c r="G3" s="15">
        <f>F3*D3</f>
        <v>2.2733679999999999E-2</v>
      </c>
      <c r="H3" s="9">
        <f>VLOOKUP(A3,Odds!A18:I18,5,FALSE)</f>
        <v>0.74961999999999995</v>
      </c>
      <c r="I3" s="9">
        <f>VLOOKUP(A3,'Yahoo WPW'!A18:I18,5,FALSE)</f>
        <v>0.78710000000000002</v>
      </c>
      <c r="J3" s="9">
        <f>H3-I3</f>
        <v>-3.7480000000000069E-2</v>
      </c>
      <c r="K3" s="15">
        <f>J3*H3</f>
        <v>-2.8095757600000049E-2</v>
      </c>
      <c r="L3" s="9">
        <f>VLOOKUP(A3,Odds!A18:I18,6,FALSE)</f>
        <v>0.59314999999999996</v>
      </c>
      <c r="M3" s="9">
        <f>VLOOKUP(A3,'Yahoo WPW'!A18:I18,6,FALSE)</f>
        <v>0.66549999999999998</v>
      </c>
      <c r="N3" s="9">
        <f>L3-M3</f>
        <v>-7.2350000000000025E-2</v>
      </c>
      <c r="O3" s="15">
        <f>N3*L3</f>
        <v>-4.2914402500000011E-2</v>
      </c>
      <c r="P3" s="9">
        <f>VLOOKUP(A3,Odds!A18:I18,7,FALSE)</f>
        <v>0.43930999999999998</v>
      </c>
      <c r="Q3" s="9">
        <f>VLOOKUP(A3,'Yahoo WPW'!A18:I18,7,FALSE)</f>
        <v>0.442</v>
      </c>
      <c r="R3" s="9">
        <f>P3-Q3</f>
        <v>-2.6900000000000257E-3</v>
      </c>
      <c r="S3" s="15">
        <f>R3*P3</f>
        <v>-1.1817439000000112E-3</v>
      </c>
      <c r="T3" s="9">
        <f>VLOOKUP(A3,Odds!A18:I18,8,FALSE)</f>
        <v>0.28408</v>
      </c>
      <c r="U3" s="9">
        <f>VLOOKUP(A3,'Yahoo WPW'!A18:I18,8,FALSE)</f>
        <v>0.16470000000000001</v>
      </c>
      <c r="V3" s="9">
        <f>T3-U3</f>
        <v>0.11937999999999999</v>
      </c>
      <c r="W3" s="15">
        <f>V3*T3</f>
        <v>3.3913470399999993E-2</v>
      </c>
      <c r="X3" s="9">
        <f>VLOOKUP(A3,Odds!A18:I18,9,FALSE)</f>
        <v>0.17323</v>
      </c>
      <c r="Y3" s="9">
        <f>VLOOKUP(A3,'Yahoo WPW'!A18:I18,9,FALSE)</f>
        <v>8.4599999999999995E-2</v>
      </c>
      <c r="Z3" s="9">
        <f>X3-Y3</f>
        <v>8.863E-2</v>
      </c>
      <c r="AA3" s="15">
        <f>Z3*X3</f>
        <v>1.5353374899999999E-2</v>
      </c>
      <c r="AB3" s="16"/>
    </row>
    <row r="4" spans="1:28" ht="15.75" customHeight="1" x14ac:dyDescent="0.15">
      <c r="A4" s="5" t="s">
        <v>21</v>
      </c>
      <c r="B4" s="5">
        <v>2</v>
      </c>
      <c r="C4" s="5" t="s">
        <v>16</v>
      </c>
      <c r="D4" s="8">
        <f>VLOOKUP(A4,Odds!A51:I51,4,FALSE)</f>
        <v>0.94015000000000004</v>
      </c>
      <c r="E4" s="9">
        <f>VLOOKUP(A4,'Yahoo WPW'!A51:I51,4,FALSE)</f>
        <v>0.93899999999999995</v>
      </c>
      <c r="F4" s="9">
        <f>D4-E4</f>
        <v>1.1500000000000954E-3</v>
      </c>
      <c r="G4" s="15">
        <f>F4*D4</f>
        <v>1.0811725000000898E-3</v>
      </c>
      <c r="H4" s="9">
        <f>VLOOKUP(A4,Odds!A51:I51,5,FALSE)</f>
        <v>0.74753999999999998</v>
      </c>
      <c r="I4" s="9">
        <f>VLOOKUP(A4,'Yahoo WPW'!A51:I51,5,FALSE)</f>
        <v>0.67530000000000001</v>
      </c>
      <c r="J4" s="9">
        <f>H4-I4</f>
        <v>7.2239999999999971E-2</v>
      </c>
      <c r="K4" s="15">
        <f>J4*H4</f>
        <v>5.4002289599999975E-2</v>
      </c>
      <c r="L4" s="9">
        <f>VLOOKUP(A4,Odds!A51:I51,6,FALSE)</f>
        <v>0.51627000000000001</v>
      </c>
      <c r="M4" s="9">
        <f>VLOOKUP(A4,'Yahoo WPW'!A51:I51,6,FALSE)</f>
        <v>0.49249999999999999</v>
      </c>
      <c r="N4" s="9">
        <f>L4-M4</f>
        <v>2.3770000000000013E-2</v>
      </c>
      <c r="O4" s="15">
        <f>N4*L4</f>
        <v>1.2271737900000006E-2</v>
      </c>
      <c r="P4" s="9">
        <f>VLOOKUP(A4,Odds!A51:I51,7,FALSE)</f>
        <v>0.26369999999999999</v>
      </c>
      <c r="Q4" s="9">
        <f>VLOOKUP(A4,'Yahoo WPW'!A51:I51,7,FALSE)</f>
        <v>0.2019</v>
      </c>
      <c r="R4" s="9">
        <f>P4-Q4</f>
        <v>6.1799999999999994E-2</v>
      </c>
      <c r="S4" s="15">
        <f>R4*P4</f>
        <v>1.6296659999999998E-2</v>
      </c>
      <c r="T4" s="9">
        <f>VLOOKUP(A4,Odds!A51:I51,8,FALSE)</f>
        <v>0.15608</v>
      </c>
      <c r="U4" s="9">
        <f>VLOOKUP(A4,'Yahoo WPW'!A51:I51,8,FALSE)</f>
        <v>0.1133</v>
      </c>
      <c r="V4" s="9">
        <f>T4-U4</f>
        <v>4.2779999999999999E-2</v>
      </c>
      <c r="W4" s="15">
        <f>V4*T4</f>
        <v>6.6771024E-3</v>
      </c>
      <c r="X4" s="9">
        <f>VLOOKUP(A4,Odds!A51:I51,9,FALSE)</f>
        <v>8.0610000000000001E-2</v>
      </c>
      <c r="Y4" s="9">
        <f>VLOOKUP(A4,'Yahoo WPW'!A51:I51,9,FALSE)</f>
        <v>5.0700000000000002E-2</v>
      </c>
      <c r="Z4" s="9">
        <f>X4-Y4</f>
        <v>2.9909999999999999E-2</v>
      </c>
      <c r="AA4" s="15">
        <f>Z4*X4</f>
        <v>2.4110451000000001E-3</v>
      </c>
      <c r="AB4" s="16"/>
    </row>
    <row r="5" spans="1:28" ht="15.75" customHeight="1" x14ac:dyDescent="0.15">
      <c r="A5" s="5" t="s">
        <v>22</v>
      </c>
      <c r="B5" s="5">
        <v>2</v>
      </c>
      <c r="C5" s="5" t="s">
        <v>20</v>
      </c>
      <c r="D5" s="8">
        <f>VLOOKUP(A5,Odds!A35:I35,4,FALSE)</f>
        <v>0.91903000000000001</v>
      </c>
      <c r="E5" s="9">
        <f>VLOOKUP(A5,'Yahoo WPW'!A35:I35,4,FALSE)</f>
        <v>0.9587</v>
      </c>
      <c r="F5" s="9">
        <f>D5-E5</f>
        <v>-3.9669999999999983E-2</v>
      </c>
      <c r="G5" s="15">
        <f>F5*D5</f>
        <v>-3.6457920099999985E-2</v>
      </c>
      <c r="H5" s="9">
        <f>VLOOKUP(A5,Odds!A35:I35,5,FALSE)</f>
        <v>0.6532</v>
      </c>
      <c r="I5" s="9">
        <f>VLOOKUP(A5,'Yahoo WPW'!A35:I35,5,FALSE)</f>
        <v>0.79210000000000003</v>
      </c>
      <c r="J5" s="9">
        <f>H5-I5</f>
        <v>-0.13890000000000002</v>
      </c>
      <c r="K5" s="15">
        <f>J5*H5</f>
        <v>-9.0729480000000015E-2</v>
      </c>
      <c r="L5" s="9">
        <f>VLOOKUP(A5,Odds!A35:I35,6,FALSE)</f>
        <v>0.45616000000000001</v>
      </c>
      <c r="M5" s="9">
        <f>VLOOKUP(A5,'Yahoo WPW'!A35:I35,6,FALSE)</f>
        <v>0.58699999999999997</v>
      </c>
      <c r="N5" s="9">
        <f>L5-M5</f>
        <v>-0.13083999999999996</v>
      </c>
      <c r="O5" s="15">
        <f>N5*L5</f>
        <v>-5.9683974399999978E-2</v>
      </c>
      <c r="P5" s="9">
        <f>VLOOKUP(A5,Odds!A35:I35,7,FALSE)</f>
        <v>0.25885000000000002</v>
      </c>
      <c r="Q5" s="9">
        <f>VLOOKUP(A5,'Yahoo WPW'!A35:I35,7,FALSE)</f>
        <v>0.25180000000000002</v>
      </c>
      <c r="R5" s="9">
        <f>P5-Q5</f>
        <v>7.0500000000000007E-3</v>
      </c>
      <c r="S5" s="15">
        <f>R5*P5</f>
        <v>1.8248925000000004E-3</v>
      </c>
      <c r="T5" s="9">
        <f>VLOOKUP(A5,Odds!A35:I35,8,FALSE)</f>
        <v>0.12615000000000001</v>
      </c>
      <c r="U5" s="9">
        <f>VLOOKUP(A5,'Yahoo WPW'!A35:I35,8,FALSE)</f>
        <v>0.1037</v>
      </c>
      <c r="V5" s="9">
        <f>T5-U5</f>
        <v>2.2450000000000012E-2</v>
      </c>
      <c r="W5" s="15">
        <f>V5*T5</f>
        <v>2.8320675000000016E-3</v>
      </c>
      <c r="X5" s="9">
        <f>VLOOKUP(A5,Odds!A35:I35,9,FALSE)</f>
        <v>6.2E-2</v>
      </c>
      <c r="Y5" s="9">
        <f>VLOOKUP(A5,'Yahoo WPW'!A35:I35,9,FALSE)</f>
        <v>4.36E-2</v>
      </c>
      <c r="Z5" s="9">
        <f>X5-Y5</f>
        <v>1.84E-2</v>
      </c>
      <c r="AA5" s="15">
        <f>Z5*X5</f>
        <v>1.1408E-3</v>
      </c>
      <c r="AB5" s="16"/>
    </row>
    <row r="6" spans="1:28" ht="15.75" customHeight="1" x14ac:dyDescent="0.15">
      <c r="A6" s="5" t="s">
        <v>23</v>
      </c>
      <c r="B6" s="5">
        <v>2</v>
      </c>
      <c r="C6" s="5" t="s">
        <v>14</v>
      </c>
      <c r="D6" s="8">
        <f>VLOOKUP(A6,Odds!A19:I19,4,FALSE)</f>
        <v>0.91218999999999995</v>
      </c>
      <c r="E6" s="9">
        <f>VLOOKUP(A6,'Yahoo WPW'!A19:I19,4,FALSE)</f>
        <v>0.94169999999999998</v>
      </c>
      <c r="F6" s="9">
        <f>D6-E6</f>
        <v>-2.9510000000000036E-2</v>
      </c>
      <c r="G6" s="15">
        <f>F6*D6</f>
        <v>-2.691872690000003E-2</v>
      </c>
      <c r="H6" s="9">
        <f>VLOOKUP(A6,Odds!A19:I19,5,FALSE)</f>
        <v>0.69660999999999995</v>
      </c>
      <c r="I6" s="9">
        <f>VLOOKUP(A6,'Yahoo WPW'!A19:I19,5,FALSE)</f>
        <v>0.77910000000000001</v>
      </c>
      <c r="J6" s="9">
        <f>H6-I6</f>
        <v>-8.2490000000000063E-2</v>
      </c>
      <c r="K6" s="15">
        <f>J6*H6</f>
        <v>-5.7463358900000039E-2</v>
      </c>
      <c r="L6" s="9">
        <f>VLOOKUP(A6,Odds!A19:I19,6,FALSE)</f>
        <v>0.49933</v>
      </c>
      <c r="M6" s="9">
        <f>VLOOKUP(A6,'Yahoo WPW'!A19:I19,6,FALSE)</f>
        <v>0.55110000000000003</v>
      </c>
      <c r="N6" s="9">
        <f>L6-M6</f>
        <v>-5.1770000000000038E-2</v>
      </c>
      <c r="O6" s="15">
        <f>N6*L6</f>
        <v>-2.5850314100000018E-2</v>
      </c>
      <c r="P6" s="9">
        <f>VLOOKUP(A6,Odds!A19:I19,7,FALSE)</f>
        <v>0.23139999999999999</v>
      </c>
      <c r="Q6" s="9">
        <f>VLOOKUP(A6,'Yahoo WPW'!A19:I19,7,FALSE)</f>
        <v>0.25119999999999998</v>
      </c>
      <c r="R6" s="9">
        <f>P6-Q6</f>
        <v>-1.9799999999999984E-2</v>
      </c>
      <c r="S6" s="15">
        <f>R6*P6</f>
        <v>-4.5817199999999966E-3</v>
      </c>
      <c r="T6" s="9">
        <f>VLOOKUP(A6,Odds!A19:I19,8,FALSE)</f>
        <v>0.11594</v>
      </c>
      <c r="U6" s="9">
        <f>VLOOKUP(A6,'Yahoo WPW'!A19:I19,8,FALSE)</f>
        <v>8.2600000000000007E-2</v>
      </c>
      <c r="V6" s="9">
        <f>T6-U6</f>
        <v>3.3339999999999995E-2</v>
      </c>
      <c r="W6" s="15">
        <f>V6*T6</f>
        <v>3.8654395999999994E-3</v>
      </c>
      <c r="X6" s="9">
        <f>VLOOKUP(A6,Odds!A19:I19,9,FALSE)</f>
        <v>5.3920000000000003E-2</v>
      </c>
      <c r="Y6" s="9">
        <f>VLOOKUP(A6,'Yahoo WPW'!A19:I19,9,FALSE)</f>
        <v>3.3599999999999998E-2</v>
      </c>
      <c r="Z6" s="9">
        <f>X6-Y6</f>
        <v>2.0320000000000005E-2</v>
      </c>
      <c r="AA6" s="15">
        <f>Z6*X6</f>
        <v>1.0956544000000003E-3</v>
      </c>
      <c r="AB6" s="16"/>
    </row>
    <row r="7" spans="1:28" ht="15.75" customHeight="1" x14ac:dyDescent="0.15">
      <c r="A7" s="5" t="s">
        <v>25</v>
      </c>
      <c r="B7" s="5">
        <v>4</v>
      </c>
      <c r="C7" s="5" t="s">
        <v>16</v>
      </c>
      <c r="D7" s="8">
        <f>VLOOKUP(A7,Odds!A53:I53,4,FALSE)</f>
        <v>0.82262999999999997</v>
      </c>
      <c r="E7" s="9">
        <f>VLOOKUP(A7,'Yahoo WPW'!A53:I53,4,FALSE)</f>
        <v>0.83889999999999998</v>
      </c>
      <c r="F7" s="9">
        <f>D7-E7</f>
        <v>-1.6270000000000007E-2</v>
      </c>
      <c r="G7" s="15">
        <f>F7*D7</f>
        <v>-1.3384190100000005E-2</v>
      </c>
      <c r="H7" s="9">
        <f>VLOOKUP(A7,Odds!A53:I53,5,FALSE)</f>
        <v>0.55417000000000005</v>
      </c>
      <c r="I7" s="9">
        <f>VLOOKUP(A7,'Yahoo WPW'!A53:I53,5,FALSE)</f>
        <v>0.52680000000000005</v>
      </c>
      <c r="J7" s="9">
        <f>H7-I7</f>
        <v>2.7370000000000005E-2</v>
      </c>
      <c r="K7" s="15">
        <f>J7*H7</f>
        <v>1.5167632900000004E-2</v>
      </c>
      <c r="L7" s="9">
        <f>VLOOKUP(A7,Odds!A53:I53,6,FALSE)</f>
        <v>0.21260000000000001</v>
      </c>
      <c r="M7" s="9">
        <f>VLOOKUP(A7,'Yahoo WPW'!A53:I53,6,FALSE)</f>
        <v>9.64E-2</v>
      </c>
      <c r="N7" s="9">
        <f>L7-M7</f>
        <v>0.11620000000000001</v>
      </c>
      <c r="O7" s="15">
        <f>N7*L7</f>
        <v>2.4704120000000003E-2</v>
      </c>
      <c r="P7" s="9">
        <f>VLOOKUP(A7,Odds!A53:I53,7,FALSE)</f>
        <v>0.10691000000000001</v>
      </c>
      <c r="Q7" s="9">
        <f>VLOOKUP(A7,'Yahoo WPW'!A53:I53,7,FALSE)</f>
        <v>4.4900000000000002E-2</v>
      </c>
      <c r="R7" s="9">
        <f>P7-Q7</f>
        <v>6.2010000000000003E-2</v>
      </c>
      <c r="S7" s="15">
        <f>R7*P7</f>
        <v>6.6294891000000002E-3</v>
      </c>
      <c r="T7" s="9">
        <f>VLOOKUP(A7,Odds!A53:I53,8,FALSE)</f>
        <v>5.3060000000000003E-2</v>
      </c>
      <c r="U7" s="9">
        <f>VLOOKUP(A7,'Yahoo WPW'!A53:I53,8,FALSE)</f>
        <v>1.7000000000000001E-2</v>
      </c>
      <c r="V7" s="9">
        <f>T7-U7</f>
        <v>3.6060000000000002E-2</v>
      </c>
      <c r="W7" s="15">
        <f>V7*T7</f>
        <v>1.9133436000000003E-3</v>
      </c>
      <c r="X7" s="9">
        <f>VLOOKUP(A7,Odds!A53:I53,9,FALSE)</f>
        <v>2.2960000000000001E-2</v>
      </c>
      <c r="Y7" s="9">
        <f>VLOOKUP(A7,'Yahoo WPW'!A53:I53,9,FALSE)</f>
        <v>6.8999999999999999E-3</v>
      </c>
      <c r="Z7" s="9">
        <f>X7-Y7</f>
        <v>1.6060000000000001E-2</v>
      </c>
      <c r="AA7" s="15">
        <f>Z7*X7</f>
        <v>3.6873760000000005E-4</v>
      </c>
      <c r="AB7" s="16"/>
    </row>
    <row r="8" spans="1:28" ht="15.75" customHeight="1" x14ac:dyDescent="0.15">
      <c r="A8" s="5" t="s">
        <v>26</v>
      </c>
      <c r="B8" s="5">
        <v>3</v>
      </c>
      <c r="C8" s="5" t="s">
        <v>16</v>
      </c>
      <c r="D8" s="8">
        <f>VLOOKUP(A8,Odds!A52:I52,4,FALSE)</f>
        <v>0.86204999999999998</v>
      </c>
      <c r="E8" s="9">
        <f>VLOOKUP(A8,'Yahoo WPW'!A52:I52,4,FALSE)</f>
        <v>0.91390000000000005</v>
      </c>
      <c r="F8" s="9">
        <f>D8-E8</f>
        <v>-5.1850000000000063E-2</v>
      </c>
      <c r="G8" s="15">
        <f>F8*D8</f>
        <v>-4.4697292500000055E-2</v>
      </c>
      <c r="H8" s="9">
        <f>VLOOKUP(A8,Odds!A52:I52,5,FALSE)</f>
        <v>0.57010000000000005</v>
      </c>
      <c r="I8" s="9">
        <f>VLOOKUP(A8,'Yahoo WPW'!A52:I52,5,FALSE)</f>
        <v>0.61439999999999995</v>
      </c>
      <c r="J8" s="9">
        <f>H8-I8</f>
        <v>-4.4299999999999895E-2</v>
      </c>
      <c r="K8" s="15">
        <f>J8*H8</f>
        <v>-2.5255429999999943E-2</v>
      </c>
      <c r="L8" s="9">
        <f>VLOOKUP(A8,Odds!A52:I52,6,FALSE)</f>
        <v>0.26291999999999999</v>
      </c>
      <c r="M8" s="9">
        <f>VLOOKUP(A8,'Yahoo WPW'!A52:I52,6,FALSE)</f>
        <v>0.24060000000000001</v>
      </c>
      <c r="N8" s="9">
        <f>L8-M8</f>
        <v>2.2319999999999979E-2</v>
      </c>
      <c r="O8" s="15">
        <f>N8*L8</f>
        <v>5.8683743999999941E-3</v>
      </c>
      <c r="P8" s="9">
        <f>VLOOKUP(A8,Odds!A52:I52,7,FALSE)</f>
        <v>0.1027</v>
      </c>
      <c r="Q8" s="9">
        <f>VLOOKUP(A8,'Yahoo WPW'!A52:I52,7,FALSE)</f>
        <v>6.9900000000000004E-2</v>
      </c>
      <c r="R8" s="9">
        <f>P8-Q8</f>
        <v>3.2799999999999996E-2</v>
      </c>
      <c r="S8" s="15">
        <f>R8*P8</f>
        <v>3.3685599999999996E-3</v>
      </c>
      <c r="T8" s="9">
        <f>VLOOKUP(A8,Odds!A52:I52,8,FALSE)</f>
        <v>4.8039999999999999E-2</v>
      </c>
      <c r="U8" s="9">
        <f>VLOOKUP(A8,'Yahoo WPW'!A52:I52,8,FALSE)</f>
        <v>2.47E-2</v>
      </c>
      <c r="V8" s="9">
        <f>T8-U8</f>
        <v>2.334E-2</v>
      </c>
      <c r="W8" s="15">
        <f>V8*T8</f>
        <v>1.1212536E-3</v>
      </c>
      <c r="X8" s="9">
        <f>VLOOKUP(A8,Odds!A52:I52,9,FALSE)</f>
        <v>1.993E-2</v>
      </c>
      <c r="Y8" s="9">
        <f>VLOOKUP(A8,'Yahoo WPW'!A52:I52,9,FALSE)</f>
        <v>7.4000000000000003E-3</v>
      </c>
      <c r="Z8" s="9">
        <f>X8-Y8</f>
        <v>1.2529999999999999E-2</v>
      </c>
      <c r="AA8" s="15">
        <f>Z8*X8</f>
        <v>2.497229E-4</v>
      </c>
      <c r="AB8" s="16"/>
    </row>
    <row r="9" spans="1:28" ht="15.75" customHeight="1" x14ac:dyDescent="0.15">
      <c r="A9" s="5" t="s">
        <v>27</v>
      </c>
      <c r="B9" s="5">
        <v>4</v>
      </c>
      <c r="C9" s="5" t="s">
        <v>18</v>
      </c>
      <c r="D9" s="8">
        <f>VLOOKUP(A9,Odds!A5:I5,4,FALSE)</f>
        <v>0.85792000000000002</v>
      </c>
      <c r="E9" s="9">
        <f>VLOOKUP(A9,'Yahoo WPW'!A5:I5,4,FALSE)</f>
        <v>0.85189999999999999</v>
      </c>
      <c r="F9" s="9">
        <f>D9-E9</f>
        <v>6.0200000000000253E-3</v>
      </c>
      <c r="G9" s="15">
        <f>F9*D9</f>
        <v>5.1646784000000216E-3</v>
      </c>
      <c r="H9" s="9">
        <f>VLOOKUP(A9,Odds!A5:I5,5,FALSE)</f>
        <v>0.56798999999999999</v>
      </c>
      <c r="I9" s="9">
        <f>VLOOKUP(A9,'Yahoo WPW'!A5:I5,5,FALSE)</f>
        <v>0.52010000000000001</v>
      </c>
      <c r="J9" s="9">
        <f>H9-I9</f>
        <v>4.7889999999999988E-2</v>
      </c>
      <c r="K9" s="15">
        <f>J9*H9</f>
        <v>2.7201041099999993E-2</v>
      </c>
      <c r="L9" s="9">
        <f>VLOOKUP(A9,Odds!A5:I5,6,FALSE)</f>
        <v>0.20823</v>
      </c>
      <c r="M9" s="9">
        <f>VLOOKUP(A9,'Yahoo WPW'!A5:I5,6,FALSE)</f>
        <v>8.9800000000000005E-2</v>
      </c>
      <c r="N9" s="9">
        <f>L9-M9</f>
        <v>0.11842999999999999</v>
      </c>
      <c r="O9" s="15">
        <f>N9*L9</f>
        <v>2.46606789E-2</v>
      </c>
      <c r="P9" s="9">
        <f>VLOOKUP(A9,Odds!A5:I5,7,FALSE)</f>
        <v>0.10611</v>
      </c>
      <c r="Q9" s="9">
        <f>VLOOKUP(A9,'Yahoo WPW'!A5:I5,7,FALSE)</f>
        <v>3.9399999999999998E-2</v>
      </c>
      <c r="R9" s="9">
        <f>P9-Q9</f>
        <v>6.6709999999999992E-2</v>
      </c>
      <c r="S9" s="15">
        <f>R9*P9</f>
        <v>7.0785980999999989E-3</v>
      </c>
      <c r="T9" s="9">
        <f>VLOOKUP(A9,Odds!A5:I5,8,FALSE)</f>
        <v>4.2939999999999999E-2</v>
      </c>
      <c r="U9" s="9">
        <f>VLOOKUP(A9,'Yahoo WPW'!A5:I5,8,FALSE)</f>
        <v>1.6199999999999999E-2</v>
      </c>
      <c r="V9" s="9">
        <f>T9-U9</f>
        <v>2.674E-2</v>
      </c>
      <c r="W9" s="15">
        <f>V9*T9</f>
        <v>1.1482155999999999E-3</v>
      </c>
      <c r="X9" s="9">
        <f>VLOOKUP(A9,Odds!A5:I5,9,FALSE)</f>
        <v>1.627E-2</v>
      </c>
      <c r="Y9" s="9">
        <f>VLOOKUP(A9,'Yahoo WPW'!A5:I5,9,FALSE)</f>
        <v>7.4999999999999997E-3</v>
      </c>
      <c r="Z9" s="9">
        <f>X9-Y9</f>
        <v>8.77E-3</v>
      </c>
      <c r="AA9" s="15">
        <f>Z9*X9</f>
        <v>1.4268789999999999E-4</v>
      </c>
      <c r="AB9" s="16"/>
    </row>
    <row r="10" spans="1:28" ht="15.75" customHeight="1" x14ac:dyDescent="0.15">
      <c r="A10" s="5" t="s">
        <v>24</v>
      </c>
      <c r="B10" s="5">
        <v>2</v>
      </c>
      <c r="C10" s="5" t="s">
        <v>18</v>
      </c>
      <c r="D10" s="8">
        <f>VLOOKUP(A10,Odds!A3:I3,4,FALSE)</f>
        <v>0.90308999999999995</v>
      </c>
      <c r="E10" s="9">
        <f>VLOOKUP(A10,'Yahoo WPW'!A3:I3,4,FALSE)</f>
        <v>0.94599999999999995</v>
      </c>
      <c r="F10" s="9">
        <f>D10-E10</f>
        <v>-4.2910000000000004E-2</v>
      </c>
      <c r="G10" s="15">
        <f>F10*D10</f>
        <v>-3.87515919E-2</v>
      </c>
      <c r="H10" s="9">
        <f>VLOOKUP(A10,Odds!A3:I3,5,FALSE)</f>
        <v>0.59838999999999998</v>
      </c>
      <c r="I10" s="9">
        <f>VLOOKUP(A10,'Yahoo WPW'!A3:I3,5,FALSE)</f>
        <v>0.79020000000000001</v>
      </c>
      <c r="J10" s="9">
        <f>H10-I10</f>
        <v>-0.19181000000000004</v>
      </c>
      <c r="K10" s="15">
        <f>J10*H10</f>
        <v>-0.11477718590000002</v>
      </c>
      <c r="L10" s="9">
        <f>VLOOKUP(A10,Odds!A3:I3,6,FALSE)</f>
        <v>0.37175000000000002</v>
      </c>
      <c r="M10" s="9">
        <f>VLOOKUP(A10,'Yahoo WPW'!A3:I3,6,FALSE)</f>
        <v>0.5595</v>
      </c>
      <c r="N10" s="9">
        <f>L10-M10</f>
        <v>-0.18774999999999997</v>
      </c>
      <c r="O10" s="15">
        <f>N10*L10</f>
        <v>-6.9796062499999992E-2</v>
      </c>
      <c r="P10" s="9">
        <f>VLOOKUP(A10,Odds!A3:I3,7,FALSE)</f>
        <v>0.17502000000000001</v>
      </c>
      <c r="Q10" s="9">
        <f>VLOOKUP(A10,'Yahoo WPW'!A3:I3,7,FALSE)</f>
        <v>0.17899999999999999</v>
      </c>
      <c r="R10" s="9">
        <f>P10-Q10</f>
        <v>-3.9799999999999836E-3</v>
      </c>
      <c r="S10" s="15">
        <f>R10*P10</f>
        <v>-6.9657959999999718E-4</v>
      </c>
      <c r="T10" s="9">
        <f>VLOOKUP(A10,Odds!A3:I3,8,FALSE)</f>
        <v>8.2150000000000001E-2</v>
      </c>
      <c r="U10" s="9">
        <f>VLOOKUP(A10,'Yahoo WPW'!A3:I3,8,FALSE)</f>
        <v>8.48E-2</v>
      </c>
      <c r="V10" s="9">
        <f>T10-U10</f>
        <v>-2.6499999999999996E-3</v>
      </c>
      <c r="W10" s="15">
        <f>V10*T10</f>
        <v>-2.1769749999999997E-4</v>
      </c>
      <c r="X10" s="9">
        <f>VLOOKUP(A10,Odds!A3:I3,9,FALSE)</f>
        <v>3.6630000000000003E-2</v>
      </c>
      <c r="Y10" s="9">
        <f>VLOOKUP(A10,'Yahoo WPW'!A3:I3,9,FALSE)</f>
        <v>3.32E-2</v>
      </c>
      <c r="Z10" s="9">
        <f>X10-Y10</f>
        <v>3.4300000000000025E-3</v>
      </c>
      <c r="AA10" s="15">
        <f>Z10*X10</f>
        <v>1.2564090000000011E-4</v>
      </c>
      <c r="AB10" s="16"/>
    </row>
    <row r="11" spans="1:28" ht="15.75" customHeight="1" x14ac:dyDescent="0.15">
      <c r="A11" s="5" t="s">
        <v>28</v>
      </c>
      <c r="B11" s="5">
        <v>5</v>
      </c>
      <c r="C11" s="5" t="s">
        <v>14</v>
      </c>
      <c r="D11" s="8">
        <f>VLOOKUP(A11,Odds!A22:I22,4,FALSE)</f>
        <v>0.81640999999999997</v>
      </c>
      <c r="E11" s="9">
        <f>VLOOKUP(A11,'Yahoo WPW'!A22:I22,4,FALSE)</f>
        <v>0.82420000000000004</v>
      </c>
      <c r="F11" s="9">
        <f>D11-E11</f>
        <v>-7.7900000000000746E-3</v>
      </c>
      <c r="G11" s="15">
        <f>F11*D11</f>
        <v>-6.3598339000000611E-3</v>
      </c>
      <c r="H11" s="9">
        <f>VLOOKUP(A11,Odds!A22:I22,5,FALSE)</f>
        <v>0.55398999999999998</v>
      </c>
      <c r="I11" s="9">
        <f>VLOOKUP(A11,'Yahoo WPW'!A22:I22,5,FALSE)</f>
        <v>0.48620000000000002</v>
      </c>
      <c r="J11" s="9">
        <f>H11-I11</f>
        <v>6.7789999999999961E-2</v>
      </c>
      <c r="K11" s="15">
        <f>J11*H11</f>
        <v>3.7554982099999974E-2</v>
      </c>
      <c r="L11" s="9">
        <f>VLOOKUP(A11,Odds!A22:I22,6,FALSE)</f>
        <v>0.18048</v>
      </c>
      <c r="M11" s="9">
        <f>VLOOKUP(A11,'Yahoo WPW'!A22:I22,6,FALSE)</f>
        <v>0.1045</v>
      </c>
      <c r="N11" s="9">
        <f>L11-M11</f>
        <v>7.5980000000000006E-2</v>
      </c>
      <c r="O11" s="15">
        <f>N11*L11</f>
        <v>1.37128704E-2</v>
      </c>
      <c r="P11" s="9">
        <f>VLOOKUP(A11,Odds!A22:I22,7,FALSE)</f>
        <v>9.307E-2</v>
      </c>
      <c r="Q11" s="9">
        <f>VLOOKUP(A11,'Yahoo WPW'!A22:I22,7,FALSE)</f>
        <v>3.9E-2</v>
      </c>
      <c r="R11" s="9">
        <f>P11-Q11</f>
        <v>5.407E-2</v>
      </c>
      <c r="S11" s="15">
        <f>R11*P11</f>
        <v>5.0322949000000004E-3</v>
      </c>
      <c r="T11" s="9">
        <f>VLOOKUP(A11,Odds!A22:I22,8,FALSE)</f>
        <v>3.7659999999999999E-2</v>
      </c>
      <c r="U11" s="9">
        <f>VLOOKUP(A11,'Yahoo WPW'!A22:I22,8,FALSE)</f>
        <v>1.11E-2</v>
      </c>
      <c r="V11" s="9">
        <f>T11-U11</f>
        <v>2.656E-2</v>
      </c>
      <c r="W11" s="15">
        <f>V11*T11</f>
        <v>1.0002495999999999E-3</v>
      </c>
      <c r="X11" s="9">
        <f>VLOOKUP(A11,Odds!A22:I22,9,FALSE)</f>
        <v>1.338E-2</v>
      </c>
      <c r="Y11" s="9">
        <f>VLOOKUP(A11,'Yahoo WPW'!A22:I22,9,FALSE)</f>
        <v>4.1000000000000003E-3</v>
      </c>
      <c r="Z11" s="9">
        <f>X11-Y11</f>
        <v>9.2800000000000001E-3</v>
      </c>
      <c r="AA11" s="15">
        <f>Z11*X11</f>
        <v>1.2416639999999999E-4</v>
      </c>
      <c r="AB11" s="16"/>
    </row>
    <row r="12" spans="1:28" ht="15.75" customHeight="1" x14ac:dyDescent="0.15">
      <c r="A12" s="5" t="s">
        <v>32</v>
      </c>
      <c r="B12" s="5">
        <v>7</v>
      </c>
      <c r="C12" s="5" t="s">
        <v>18</v>
      </c>
      <c r="D12" s="8">
        <f>VLOOKUP(A12,Odds!A8:I8,4,FALSE)</f>
        <v>0.77832000000000001</v>
      </c>
      <c r="E12" s="9">
        <f>VLOOKUP(A12,'Yahoo WPW'!A8:I8,4,FALSE)</f>
        <v>0.55259999999999998</v>
      </c>
      <c r="F12" s="9">
        <f>D12-E12</f>
        <v>0.22572000000000003</v>
      </c>
      <c r="G12" s="15">
        <f>F12*D12</f>
        <v>0.17568239040000003</v>
      </c>
      <c r="H12" s="9">
        <f>VLOOKUP(A12,Odds!A8:I8,5,FALSE)</f>
        <v>0.33944999999999997</v>
      </c>
      <c r="I12" s="9">
        <f>VLOOKUP(A12,'Yahoo WPW'!A8:I8,5,FALSE)</f>
        <v>0.1222</v>
      </c>
      <c r="J12" s="9">
        <f>H12-I12</f>
        <v>0.21724999999999997</v>
      </c>
      <c r="K12" s="15">
        <f>J12*H12</f>
        <v>7.3745512499999985E-2</v>
      </c>
      <c r="L12" s="9">
        <f>VLOOKUP(A12,Odds!A8:I8,6,FALSE)</f>
        <v>0.17385999999999999</v>
      </c>
      <c r="M12" s="9">
        <f>VLOOKUP(A12,'Yahoo WPW'!A8:I8,6,FALSE)</f>
        <v>3.6999999999999998E-2</v>
      </c>
      <c r="N12" s="9">
        <f>L12-M12</f>
        <v>0.13685999999999998</v>
      </c>
      <c r="O12" s="15">
        <f>N12*L12</f>
        <v>2.3794479599999994E-2</v>
      </c>
      <c r="P12" s="9">
        <f>VLOOKUP(A12,Odds!A8:I8,7,FALSE)</f>
        <v>6.4820000000000003E-2</v>
      </c>
      <c r="Q12" s="9">
        <f>VLOOKUP(A12,'Yahoo WPW'!A8:I8,7,FALSE)</f>
        <v>7.1000000000000004E-3</v>
      </c>
      <c r="R12" s="9">
        <f>P12-Q12</f>
        <v>5.772E-2</v>
      </c>
      <c r="S12" s="15">
        <f>R12*P12</f>
        <v>3.7414104000000003E-3</v>
      </c>
      <c r="T12" s="9">
        <f>VLOOKUP(A12,Odds!A8:I8,8,FALSE)</f>
        <v>2.4389999999999998E-2</v>
      </c>
      <c r="U12" s="9">
        <f>VLOOKUP(A12,'Yahoo WPW'!A8:I8,8,FALSE)</f>
        <v>2.5000000000000001E-3</v>
      </c>
      <c r="V12" s="9">
        <f>T12-U12</f>
        <v>2.189E-2</v>
      </c>
      <c r="W12" s="15">
        <f>V12*T12</f>
        <v>5.3389710000000001E-4</v>
      </c>
      <c r="X12" s="9">
        <f>VLOOKUP(A12,Odds!A8:I8,9,FALSE)</f>
        <v>8.6700000000000006E-3</v>
      </c>
      <c r="Y12" s="9">
        <f>VLOOKUP(A12,'Yahoo WPW'!A8:I8,9,FALSE)</f>
        <v>1E-3</v>
      </c>
      <c r="Z12" s="9">
        <f>X12-Y12</f>
        <v>7.6700000000000006E-3</v>
      </c>
      <c r="AA12" s="15">
        <f>Z12*X12</f>
        <v>6.6498900000000008E-5</v>
      </c>
      <c r="AB12" s="16"/>
    </row>
    <row r="13" spans="1:28" ht="15.75" customHeight="1" x14ac:dyDescent="0.15">
      <c r="A13" s="5" t="s">
        <v>30</v>
      </c>
      <c r="B13" s="5">
        <v>8</v>
      </c>
      <c r="C13" s="5" t="s">
        <v>14</v>
      </c>
      <c r="D13" s="8">
        <f>VLOOKUP(A13,Odds!A25:I25,4,FALSE)</f>
        <v>0.68313999999999997</v>
      </c>
      <c r="E13" s="9">
        <f>VLOOKUP(A13,'Yahoo WPW'!A25:I25,4,FALSE)</f>
        <v>0.69179999999999997</v>
      </c>
      <c r="F13" s="9">
        <f>D13-E13</f>
        <v>-8.660000000000001E-3</v>
      </c>
      <c r="G13" s="15">
        <f>F13*D13</f>
        <v>-5.9159924000000003E-3</v>
      </c>
      <c r="H13" s="9">
        <f>VLOOKUP(A13,Odds!A25:I25,5,FALSE)</f>
        <v>0.19738</v>
      </c>
      <c r="I13" s="9">
        <f>VLOOKUP(A13,'Yahoo WPW'!A25:I25,5,FALSE)</f>
        <v>0.12959999999999999</v>
      </c>
      <c r="J13" s="9">
        <f>H13-I13</f>
        <v>6.7780000000000007E-2</v>
      </c>
      <c r="K13" s="15">
        <f>J13*H13</f>
        <v>1.3378416400000001E-2</v>
      </c>
      <c r="L13" s="9">
        <f>VLOOKUP(A13,Odds!A25:I25,6,FALSE)</f>
        <v>0.11934</v>
      </c>
      <c r="M13" s="9">
        <f>VLOOKUP(A13,'Yahoo WPW'!A25:I25,6,FALSE)</f>
        <v>7.3200000000000001E-2</v>
      </c>
      <c r="N13" s="9">
        <f>L13-M13</f>
        <v>4.614E-2</v>
      </c>
      <c r="O13" s="15">
        <f>N13*L13</f>
        <v>5.5063476000000002E-3</v>
      </c>
      <c r="P13" s="9">
        <f>VLOOKUP(A13,Odds!A25:I25,7,FALSE)</f>
        <v>6.3479999999999995E-2</v>
      </c>
      <c r="Q13" s="9">
        <f>VLOOKUP(A13,'Yahoo WPW'!A25:I25,7,FALSE)</f>
        <v>3.1699999999999999E-2</v>
      </c>
      <c r="R13" s="9">
        <f>P13-Q13</f>
        <v>3.1779999999999996E-2</v>
      </c>
      <c r="S13" s="15">
        <f>R13*P13</f>
        <v>2.0173943999999997E-3</v>
      </c>
      <c r="T13" s="9">
        <f>VLOOKUP(A13,Odds!A25:I25,8,FALSE)</f>
        <v>2.699E-2</v>
      </c>
      <c r="U13" s="9">
        <f>VLOOKUP(A13,'Yahoo WPW'!A25:I25,8,FALSE)</f>
        <v>1.12E-2</v>
      </c>
      <c r="V13" s="9">
        <f>T13-U13</f>
        <v>1.5789999999999998E-2</v>
      </c>
      <c r="W13" s="15">
        <f>V13*T13</f>
        <v>4.2617209999999998E-4</v>
      </c>
      <c r="X13" s="9">
        <f>VLOOKUP(A13,Odds!A25:I25,9,FALSE)</f>
        <v>1.039E-2</v>
      </c>
      <c r="Y13" s="9">
        <f>VLOOKUP(A13,'Yahoo WPW'!A25:I25,9,FALSE)</f>
        <v>6.0000000000000001E-3</v>
      </c>
      <c r="Z13" s="9">
        <f>X13-Y13</f>
        <v>4.3899999999999998E-3</v>
      </c>
      <c r="AA13" s="15">
        <f>Z13*X13</f>
        <v>4.5612099999999997E-5</v>
      </c>
      <c r="AB13" s="16"/>
    </row>
    <row r="14" spans="1:28" ht="15.75" customHeight="1" x14ac:dyDescent="0.15">
      <c r="A14" s="5" t="s">
        <v>31</v>
      </c>
      <c r="B14" s="5">
        <v>3</v>
      </c>
      <c r="C14" s="5" t="s">
        <v>20</v>
      </c>
      <c r="D14" s="8">
        <f>VLOOKUP(A14,Odds!A36:I36,4,FALSE)</f>
        <v>0.83567999999999998</v>
      </c>
      <c r="E14" s="9">
        <f>VLOOKUP(A14,'Yahoo WPW'!A36:I36,4,FALSE)</f>
        <v>0.92869999999999997</v>
      </c>
      <c r="F14" s="9">
        <f>D14-E14</f>
        <v>-9.3019999999999992E-2</v>
      </c>
      <c r="G14" s="15">
        <f>F14*D14</f>
        <v>-7.773495359999999E-2</v>
      </c>
      <c r="H14" s="9">
        <f>VLOOKUP(A14,Odds!A36:I36,5,FALSE)</f>
        <v>0.48610999999999999</v>
      </c>
      <c r="I14" s="9">
        <f>VLOOKUP(A14,'Yahoo WPW'!A36:I36,5,FALSE)</f>
        <v>0.63629999999999998</v>
      </c>
      <c r="J14" s="9">
        <f>H14-I14</f>
        <v>-0.15018999999999999</v>
      </c>
      <c r="K14" s="15">
        <f>J14*H14</f>
        <v>-7.30088609E-2</v>
      </c>
      <c r="L14" s="9">
        <f>VLOOKUP(A14,Odds!A36:I36,6,FALSE)</f>
        <v>0.20549999999999999</v>
      </c>
      <c r="M14" s="9">
        <f>VLOOKUP(A14,'Yahoo WPW'!A36:I36,6,FALSE)</f>
        <v>0.22209999999999999</v>
      </c>
      <c r="N14" s="9">
        <f>L14-M14</f>
        <v>-1.6600000000000004E-2</v>
      </c>
      <c r="O14" s="15">
        <f>N14*L14</f>
        <v>-3.4113000000000004E-3</v>
      </c>
      <c r="P14" s="9">
        <f>VLOOKUP(A14,Odds!A36:I36,7,FALSE)</f>
        <v>8.5900000000000004E-2</v>
      </c>
      <c r="Q14" s="9">
        <f>VLOOKUP(A14,'Yahoo WPW'!A36:I36,7,FALSE)</f>
        <v>6.4100000000000004E-2</v>
      </c>
      <c r="R14" s="9">
        <f>P14-Q14</f>
        <v>2.18E-2</v>
      </c>
      <c r="S14" s="15">
        <f>R14*P14</f>
        <v>1.8726200000000002E-3</v>
      </c>
      <c r="T14" s="9">
        <f>VLOOKUP(A14,Odds!A36:I36,8,FALSE)</f>
        <v>2.877E-2</v>
      </c>
      <c r="U14" s="9">
        <f>VLOOKUP(A14,'Yahoo WPW'!A36:I36,8,FALSE)</f>
        <v>2.23E-2</v>
      </c>
      <c r="V14" s="9">
        <f>T14-U14</f>
        <v>6.4700000000000001E-3</v>
      </c>
      <c r="W14" s="15">
        <f>V14*T14</f>
        <v>1.861419E-4</v>
      </c>
      <c r="X14" s="9">
        <f>VLOOKUP(A14,Odds!A36:I36,9,FALSE)</f>
        <v>9.9500000000000005E-3</v>
      </c>
      <c r="Y14" s="9">
        <f>VLOOKUP(A14,'Yahoo WPW'!A36:I36,9,FALSE)</f>
        <v>6.4000000000000003E-3</v>
      </c>
      <c r="Z14" s="9">
        <f>X14-Y14</f>
        <v>3.5500000000000002E-3</v>
      </c>
      <c r="AA14" s="15">
        <f>Z14*X14</f>
        <v>3.5322500000000006E-5</v>
      </c>
      <c r="AB14" s="16"/>
    </row>
    <row r="15" spans="1:28" ht="15.75" customHeight="1" x14ac:dyDescent="0.15">
      <c r="A15" s="5" t="s">
        <v>33</v>
      </c>
      <c r="B15" s="5">
        <v>8</v>
      </c>
      <c r="C15" s="5" t="s">
        <v>20</v>
      </c>
      <c r="D15" s="8">
        <f>VLOOKUP(A15,Odds!A41:I41,4,FALSE)</f>
        <v>0.57262999999999997</v>
      </c>
      <c r="E15" s="9">
        <f>VLOOKUP(A15,'Yahoo WPW'!A41:I41,4,FALSE)</f>
        <v>0.54449999999999998</v>
      </c>
      <c r="F15" s="9">
        <f>D15-E15</f>
        <v>2.8129999999999988E-2</v>
      </c>
      <c r="G15" s="15">
        <f>F15*D15</f>
        <v>1.6108081899999991E-2</v>
      </c>
      <c r="H15" s="9">
        <f>VLOOKUP(A15,Odds!A41:I41,5,FALSE)</f>
        <v>0.18894</v>
      </c>
      <c r="I15" s="9">
        <f>VLOOKUP(A15,'Yahoo WPW'!A41:I41,5,FALSE)</f>
        <v>6.4799999999999996E-2</v>
      </c>
      <c r="J15" s="9">
        <f>H15-I15</f>
        <v>0.12414</v>
      </c>
      <c r="K15" s="15">
        <f>J15*H15</f>
        <v>2.3455011599999999E-2</v>
      </c>
      <c r="L15" s="9">
        <f>VLOOKUP(A15,Odds!A41:I41,6,FALSE)</f>
        <v>0.11266</v>
      </c>
      <c r="M15" s="9">
        <f>VLOOKUP(A15,'Yahoo WPW'!A41:I41,6,FALSE)</f>
        <v>3.6999999999999998E-2</v>
      </c>
      <c r="N15" s="9">
        <f>L15-M15</f>
        <v>7.5660000000000005E-2</v>
      </c>
      <c r="O15" s="15">
        <f>N15*L15</f>
        <v>8.5238555999999997E-3</v>
      </c>
      <c r="P15" s="9">
        <f>VLOOKUP(A15,Odds!A41:I41,7,FALSE)</f>
        <v>5.2830000000000002E-2</v>
      </c>
      <c r="Q15" s="9">
        <f>VLOOKUP(A15,'Yahoo WPW'!A41:I41,7,FALSE)</f>
        <v>1.9900000000000001E-2</v>
      </c>
      <c r="R15" s="9">
        <f>P15-Q15</f>
        <v>3.2930000000000001E-2</v>
      </c>
      <c r="S15" s="15">
        <f>R15*P15</f>
        <v>1.7396919000000001E-3</v>
      </c>
      <c r="T15" s="9">
        <f>VLOOKUP(A15,Odds!A41:I41,8,FALSE)</f>
        <v>1.883E-2</v>
      </c>
      <c r="U15" s="9">
        <f>VLOOKUP(A15,'Yahoo WPW'!A41:I41,8,FALSE)</f>
        <v>4.3E-3</v>
      </c>
      <c r="V15" s="9">
        <f>T15-U15</f>
        <v>1.453E-2</v>
      </c>
      <c r="W15" s="15">
        <f>V15*T15</f>
        <v>2.735999E-4</v>
      </c>
      <c r="X15" s="9">
        <f>VLOOKUP(A15,Odds!A41:I41,9,FALSE)</f>
        <v>6.8599999999999998E-3</v>
      </c>
      <c r="Y15" s="9">
        <f>VLOOKUP(A15,'Yahoo WPW'!A41:I41,9,FALSE)</f>
        <v>1.8E-3</v>
      </c>
      <c r="Z15" s="9">
        <f>X15-Y15</f>
        <v>5.0600000000000003E-3</v>
      </c>
      <c r="AA15" s="15">
        <f>Z15*X15</f>
        <v>3.4711600000000002E-5</v>
      </c>
      <c r="AB15" s="16"/>
    </row>
    <row r="16" spans="1:28" ht="15.75" customHeight="1" x14ac:dyDescent="0.15">
      <c r="A16" s="5" t="s">
        <v>29</v>
      </c>
      <c r="B16" s="5">
        <v>3</v>
      </c>
      <c r="C16" s="5" t="s">
        <v>18</v>
      </c>
      <c r="D16" s="8">
        <f>VLOOKUP(A16,Odds!A4:I4,4,FALSE)</f>
        <v>0.88488</v>
      </c>
      <c r="E16" s="9">
        <f>VLOOKUP(A16,'Yahoo WPW'!A4:I4,4,FALSE)</f>
        <v>0.91839999999999999</v>
      </c>
      <c r="F16" s="9">
        <f>D16-E16</f>
        <v>-3.3519999999999994E-2</v>
      </c>
      <c r="G16" s="15">
        <f>F16*D16</f>
        <v>-2.9661177599999995E-2</v>
      </c>
      <c r="H16" s="9">
        <f>VLOOKUP(A16,Odds!A4:I4,5,FALSE)</f>
        <v>0.48477999999999999</v>
      </c>
      <c r="I16" s="9">
        <f>VLOOKUP(A16,'Yahoo WPW'!A4:I4,5,FALSE)</f>
        <v>0.60270000000000001</v>
      </c>
      <c r="J16" s="9">
        <f>H16-I16</f>
        <v>-0.11792000000000002</v>
      </c>
      <c r="K16" s="15">
        <f>J16*H16</f>
        <v>-5.7165257600000012E-2</v>
      </c>
      <c r="L16" s="9">
        <f>VLOOKUP(A16,Odds!A4:I4,6,FALSE)</f>
        <v>0.22908000000000001</v>
      </c>
      <c r="M16" s="9">
        <f>VLOOKUP(A16,'Yahoo WPW'!A4:I4,6,FALSE)</f>
        <v>0.22869999999999999</v>
      </c>
      <c r="N16" s="9">
        <f>L16-M16</f>
        <v>3.8000000000001921E-4</v>
      </c>
      <c r="O16" s="15">
        <f>N16*L16</f>
        <v>8.7050400000004407E-5</v>
      </c>
      <c r="P16" s="9">
        <f>VLOOKUP(A16,Odds!A4:I4,7,FALSE)</f>
        <v>8.8080000000000006E-2</v>
      </c>
      <c r="Q16" s="9">
        <f>VLOOKUP(A16,'Yahoo WPW'!A4:I4,7,FALSE)</f>
        <v>5.8299999999999998E-2</v>
      </c>
      <c r="R16" s="9">
        <f>P16-Q16</f>
        <v>2.9780000000000008E-2</v>
      </c>
      <c r="S16" s="15">
        <f>R16*P16</f>
        <v>2.623022400000001E-3</v>
      </c>
      <c r="T16" s="9">
        <f>VLOOKUP(A16,Odds!A4:I4,8,FALSE)</f>
        <v>3.4029999999999998E-2</v>
      </c>
      <c r="U16" s="9">
        <f>VLOOKUP(A16,'Yahoo WPW'!A4:I4,8,FALSE)</f>
        <v>2.4799999999999999E-2</v>
      </c>
      <c r="V16" s="9">
        <f>T16-U16</f>
        <v>9.2299999999999986E-3</v>
      </c>
      <c r="W16" s="15">
        <f>V16*T16</f>
        <v>3.1409689999999991E-4</v>
      </c>
      <c r="X16" s="9">
        <f>VLOOKUP(A16,Odds!A4:I4,9,FALSE)</f>
        <v>1.209E-2</v>
      </c>
      <c r="Y16" s="9">
        <f>VLOOKUP(A16,'Yahoo WPW'!A4:I4,9,FALSE)</f>
        <v>1.0500000000000001E-2</v>
      </c>
      <c r="Z16" s="9">
        <f>X16-Y16</f>
        <v>1.5899999999999994E-3</v>
      </c>
      <c r="AA16" s="15">
        <f>Z16*X16</f>
        <v>1.9223099999999992E-5</v>
      </c>
      <c r="AB16" s="16"/>
    </row>
    <row r="17" spans="1:28" ht="15.75" customHeight="1" x14ac:dyDescent="0.15">
      <c r="A17" s="5" t="s">
        <v>35</v>
      </c>
      <c r="B17" s="5">
        <v>6</v>
      </c>
      <c r="C17" s="5" t="s">
        <v>18</v>
      </c>
      <c r="D17" s="8">
        <f>VLOOKUP(A17,Odds!A7:I7,4,FALSE)</f>
        <v>0.53649000000000002</v>
      </c>
      <c r="E17" s="9">
        <f>VLOOKUP(A17,'Yahoo WPW'!A7:I7,4,FALSE)</f>
        <v>0.65490000000000004</v>
      </c>
      <c r="F17" s="9">
        <f>D17-E17</f>
        <v>-0.11841000000000002</v>
      </c>
      <c r="G17" s="15">
        <f>F17*D17</f>
        <v>-6.3525780900000009E-2</v>
      </c>
      <c r="H17" s="9">
        <f>VLOOKUP(A17,Odds!A7:I7,5,FALSE)</f>
        <v>0.27728999999999998</v>
      </c>
      <c r="I17" s="9">
        <f>VLOOKUP(A17,'Yahoo WPW'!A7:I7,5,FALSE)</f>
        <v>0.27910000000000001</v>
      </c>
      <c r="J17" s="9">
        <f>H17-I17</f>
        <v>-1.8100000000000338E-3</v>
      </c>
      <c r="K17" s="15">
        <f>J17*H17</f>
        <v>-5.0189490000000932E-4</v>
      </c>
      <c r="L17" s="9">
        <f>VLOOKUP(A17,Odds!A7:I7,6,FALSE)</f>
        <v>0.12161</v>
      </c>
      <c r="M17" s="9">
        <f>VLOOKUP(A17,'Yahoo WPW'!A7:I7,6,FALSE)</f>
        <v>0.11210000000000001</v>
      </c>
      <c r="N17" s="9">
        <f>L17-M17</f>
        <v>9.5099999999999907E-3</v>
      </c>
      <c r="O17" s="15">
        <f>N17*L17</f>
        <v>1.1565110999999988E-3</v>
      </c>
      <c r="P17" s="9">
        <f>VLOOKUP(A17,Odds!A7:I7,7,FALSE)</f>
        <v>4.3650000000000001E-2</v>
      </c>
      <c r="Q17" s="9">
        <f>VLOOKUP(A17,'Yahoo WPW'!A7:I7,7,FALSE)</f>
        <v>1.2200000000000001E-2</v>
      </c>
      <c r="R17" s="9">
        <f>P17-Q17</f>
        <v>3.1449999999999999E-2</v>
      </c>
      <c r="S17" s="15">
        <f>R17*P17</f>
        <v>1.3727925E-3</v>
      </c>
      <c r="T17" s="9">
        <f>VLOOKUP(A17,Odds!A7:I7,8,FALSE)</f>
        <v>1.5469999999999999E-2</v>
      </c>
      <c r="U17" s="9">
        <f>VLOOKUP(A17,'Yahoo WPW'!A7:I7,8,FALSE)</f>
        <v>4.3E-3</v>
      </c>
      <c r="V17" s="9">
        <f>T17-U17</f>
        <v>1.1169999999999999E-2</v>
      </c>
      <c r="W17" s="15">
        <f>V17*T17</f>
        <v>1.7279989999999999E-4</v>
      </c>
      <c r="X17" s="9">
        <f>VLOOKUP(A17,Odds!A7:I7,9,FALSE)</f>
        <v>4.9100000000000003E-3</v>
      </c>
      <c r="Y17" s="9">
        <f>VLOOKUP(A17,'Yahoo WPW'!A7:I7,9,FALSE)</f>
        <v>2.2000000000000001E-3</v>
      </c>
      <c r="Z17" s="9">
        <f>X17-Y17</f>
        <v>2.7100000000000002E-3</v>
      </c>
      <c r="AA17" s="15">
        <f>Z17*X17</f>
        <v>1.3306100000000001E-5</v>
      </c>
      <c r="AB17" s="16"/>
    </row>
    <row r="18" spans="1:28" ht="15.75" customHeight="1" x14ac:dyDescent="0.15">
      <c r="A18" s="5" t="s">
        <v>36</v>
      </c>
      <c r="B18" s="5">
        <v>6</v>
      </c>
      <c r="C18" s="5" t="s">
        <v>14</v>
      </c>
      <c r="D18" s="8">
        <f>VLOOKUP(A18,Odds!A23:I23,4,FALSE)</f>
        <v>0.55830999999999997</v>
      </c>
      <c r="E18" s="9">
        <f>VLOOKUP(A18,'Yahoo WPW'!A23:I23,4,FALSE)</f>
        <v>0.73860000000000003</v>
      </c>
      <c r="F18" s="9">
        <f>D18-E18</f>
        <v>-0.18029000000000006</v>
      </c>
      <c r="G18" s="15">
        <f>F18*D18</f>
        <v>-0.10065770990000003</v>
      </c>
      <c r="H18" s="9">
        <f>VLOOKUP(A18,Odds!A23:I23,5,FALSE)</f>
        <v>0.34176000000000001</v>
      </c>
      <c r="I18" s="9">
        <f>VLOOKUP(A18,'Yahoo WPW'!A23:I23,5,FALSE)</f>
        <v>0.26400000000000001</v>
      </c>
      <c r="J18" s="9">
        <f>H18-I18</f>
        <v>7.7759999999999996E-2</v>
      </c>
      <c r="K18" s="15">
        <f>J18*H18</f>
        <v>2.6575257599999999E-2</v>
      </c>
      <c r="L18" s="9">
        <f>VLOOKUP(A18,Odds!A23:I23,6,FALSE)</f>
        <v>0.14029</v>
      </c>
      <c r="M18" s="9">
        <f>VLOOKUP(A18,'Yahoo WPW'!A23:I23,6,FALSE)</f>
        <v>9.8500000000000004E-2</v>
      </c>
      <c r="N18" s="9">
        <f>L18-M18</f>
        <v>4.1789999999999994E-2</v>
      </c>
      <c r="O18" s="15">
        <f>N18*L18</f>
        <v>5.8627190999999993E-3</v>
      </c>
      <c r="P18" s="9">
        <f>VLOOKUP(A18,Odds!A23:I23,7,FALSE)</f>
        <v>4.3959999999999999E-2</v>
      </c>
      <c r="Q18" s="9">
        <f>VLOOKUP(A18,'Yahoo WPW'!A23:I23,7,FALSE)</f>
        <v>1.7600000000000001E-2</v>
      </c>
      <c r="R18" s="9">
        <f>P18-Q18</f>
        <v>2.6359999999999998E-2</v>
      </c>
      <c r="S18" s="15">
        <f>R18*P18</f>
        <v>1.1587855999999998E-3</v>
      </c>
      <c r="T18" s="9">
        <f>VLOOKUP(A18,Odds!A23:I23,8,FALSE)</f>
        <v>1.474E-2</v>
      </c>
      <c r="U18" s="9">
        <f>VLOOKUP(A18,'Yahoo WPW'!A23:I23,8,FALSE)</f>
        <v>5.4999999999999997E-3</v>
      </c>
      <c r="V18" s="9">
        <f>T18-U18</f>
        <v>9.2399999999999999E-3</v>
      </c>
      <c r="W18" s="15">
        <f>V18*T18</f>
        <v>1.361976E-4</v>
      </c>
      <c r="X18" s="9">
        <f>VLOOKUP(A18,Odds!A23:I23,9,FALSE)</f>
        <v>4.3499999999999997E-3</v>
      </c>
      <c r="Y18" s="9">
        <f>VLOOKUP(A18,'Yahoo WPW'!A23:I23,9,FALSE)</f>
        <v>2.5999999999999999E-3</v>
      </c>
      <c r="Z18" s="9">
        <f>X18-Y18</f>
        <v>1.7499999999999998E-3</v>
      </c>
      <c r="AA18" s="15">
        <f>Z18*X18</f>
        <v>7.6124999999999987E-6</v>
      </c>
      <c r="AB18" s="16"/>
    </row>
    <row r="19" spans="1:28" ht="15.75" customHeight="1" x14ac:dyDescent="0.15">
      <c r="A19" s="5" t="s">
        <v>40</v>
      </c>
      <c r="B19" s="5">
        <v>11</v>
      </c>
      <c r="C19" s="5" t="s">
        <v>18</v>
      </c>
      <c r="D19" s="8">
        <f>VLOOKUP(A19,Odds!A12:I12,4,FALSE)</f>
        <v>0.46350999999999998</v>
      </c>
      <c r="E19" s="9">
        <f>VLOOKUP(A19,'Yahoo WPW'!A12:I12,4,FALSE)</f>
        <v>0.31430000000000002</v>
      </c>
      <c r="F19" s="9">
        <f>D19-E19</f>
        <v>0.14920999999999995</v>
      </c>
      <c r="G19" s="15">
        <f>F19*D19</f>
        <v>6.9160327099999974E-2</v>
      </c>
      <c r="H19" s="9">
        <f>VLOOKUP(A19,Odds!A12:I12,5,FALSE)</f>
        <v>0.22198999999999999</v>
      </c>
      <c r="I19" s="9">
        <f>VLOOKUP(A19,'Yahoo WPW'!A12:I12,5,FALSE)</f>
        <v>7.9200000000000007E-2</v>
      </c>
      <c r="J19" s="9">
        <f>H19-I19</f>
        <v>0.14278999999999997</v>
      </c>
      <c r="K19" s="15">
        <f>J19*H19</f>
        <v>3.1697952099999996E-2</v>
      </c>
      <c r="L19" s="9">
        <f>VLOOKUP(A19,Odds!A12:I12,6,FALSE)</f>
        <v>8.8859999999999995E-2</v>
      </c>
      <c r="M19" s="9">
        <f>VLOOKUP(A19,'Yahoo WPW'!A12:I12,6,FALSE)</f>
        <v>1.5299999999999999E-2</v>
      </c>
      <c r="N19" s="9">
        <f>L19-M19</f>
        <v>7.356E-2</v>
      </c>
      <c r="O19" s="15">
        <f>N19*L19</f>
        <v>6.5365415999999992E-3</v>
      </c>
      <c r="P19" s="9">
        <f>VLOOKUP(A19,Odds!A12:I12,7,FALSE)</f>
        <v>2.8400000000000002E-2</v>
      </c>
      <c r="Q19" s="9">
        <f>VLOOKUP(A19,'Yahoo WPW'!A12:I12,7,FALSE)</f>
        <v>3.0999999999999999E-3</v>
      </c>
      <c r="R19" s="9">
        <f>P19-Q19</f>
        <v>2.5300000000000003E-2</v>
      </c>
      <c r="S19" s="15">
        <f>R19*P19</f>
        <v>7.1852000000000016E-4</v>
      </c>
      <c r="T19" s="9">
        <f>VLOOKUP(A19,Odds!A12:I12,8,FALSE)</f>
        <v>9.2599999999999991E-3</v>
      </c>
      <c r="U19" s="9">
        <f>VLOOKUP(A19,'Yahoo WPW'!A12:I12,8,FALSE)</f>
        <v>1.4E-3</v>
      </c>
      <c r="V19" s="9">
        <f>T19-U19</f>
        <v>7.8599999999999989E-3</v>
      </c>
      <c r="W19" s="15">
        <f>V19*T19</f>
        <v>7.2783599999999985E-5</v>
      </c>
      <c r="X19" s="9">
        <f>VLOOKUP(A19,Odds!A12:I12,9,FALSE)</f>
        <v>3.0599999999999998E-3</v>
      </c>
      <c r="Y19" s="9">
        <f>VLOOKUP(A19,'Yahoo WPW'!A12:I12,9,FALSE)</f>
        <v>5.9999999999999995E-4</v>
      </c>
      <c r="Z19" s="9">
        <f>X19-Y19</f>
        <v>2.4599999999999999E-3</v>
      </c>
      <c r="AA19" s="15">
        <f>Z19*X19</f>
        <v>7.5275999999999997E-6</v>
      </c>
      <c r="AB19" s="16"/>
    </row>
    <row r="20" spans="1:28" ht="15.75" customHeight="1" x14ac:dyDescent="0.15">
      <c r="A20" s="5" t="s">
        <v>39</v>
      </c>
      <c r="B20" s="5">
        <v>11</v>
      </c>
      <c r="C20" s="5" t="s">
        <v>20</v>
      </c>
      <c r="D20" s="8">
        <f>VLOOKUP(A20,Odds!A44:I44,4,FALSE)</f>
        <v>0.57018999999999997</v>
      </c>
      <c r="E20" s="9">
        <f>VLOOKUP(A20,'Yahoo WPW'!A44:I44,4,FALSE)</f>
        <v>0.31950000000000001</v>
      </c>
      <c r="F20" s="9">
        <f>D20-E20</f>
        <v>0.25068999999999997</v>
      </c>
      <c r="G20" s="15">
        <f>F20*D20</f>
        <v>0.14294093109999997</v>
      </c>
      <c r="H20" s="9">
        <f>VLOOKUP(A20,Odds!A44:I44,5,FALSE)</f>
        <v>0.28927999999999998</v>
      </c>
      <c r="I20" s="9">
        <f>VLOOKUP(A20,'Yahoo WPW'!A44:I44,5,FALSE)</f>
        <v>0.1023</v>
      </c>
      <c r="J20" s="9">
        <f>H20-I20</f>
        <v>0.18697999999999998</v>
      </c>
      <c r="K20" s="15">
        <f>J20*H20</f>
        <v>5.4089574399999993E-2</v>
      </c>
      <c r="L20" s="9">
        <f>VLOOKUP(A20,Odds!A44:I44,6,FALSE)</f>
        <v>0.10938000000000001</v>
      </c>
      <c r="M20" s="9">
        <f>VLOOKUP(A20,'Yahoo WPW'!A44:I44,6,FALSE)</f>
        <v>2.0299999999999999E-2</v>
      </c>
      <c r="N20" s="9">
        <f>L20-M20</f>
        <v>8.9080000000000006E-2</v>
      </c>
      <c r="O20" s="15">
        <f>N20*L20</f>
        <v>9.7435704000000019E-3</v>
      </c>
      <c r="P20" s="9">
        <f>VLOOKUP(A20,Odds!A44:I44,7,FALSE)</f>
        <v>4.1459999999999997E-2</v>
      </c>
      <c r="Q20" s="9">
        <f>VLOOKUP(A20,'Yahoo WPW'!A44:I44,7,FALSE)</f>
        <v>6.4999999999999997E-3</v>
      </c>
      <c r="R20" s="9">
        <f>P20-Q20</f>
        <v>3.4959999999999998E-2</v>
      </c>
      <c r="S20" s="15">
        <f>R20*P20</f>
        <v>1.4494415999999999E-3</v>
      </c>
      <c r="T20" s="9">
        <f>VLOOKUP(A20,Odds!A44:I44,8,FALSE)</f>
        <v>1.265E-2</v>
      </c>
      <c r="U20" s="9">
        <f>VLOOKUP(A20,'Yahoo WPW'!A44:I44,8,FALSE)</f>
        <v>3.3E-3</v>
      </c>
      <c r="V20" s="9">
        <f>T20-U20</f>
        <v>9.3500000000000007E-3</v>
      </c>
      <c r="W20" s="15">
        <f>V20*T20</f>
        <v>1.182775E-4</v>
      </c>
      <c r="X20" s="9">
        <f>VLOOKUP(A20,Odds!A44:I44,9,FALSE)</f>
        <v>3.8400000000000001E-3</v>
      </c>
      <c r="Y20" s="9">
        <f>VLOOKUP(A20,'Yahoo WPW'!A44:I44,9,FALSE)</f>
        <v>2.2000000000000001E-3</v>
      </c>
      <c r="Z20" s="9">
        <f>X20-Y20</f>
        <v>1.64E-3</v>
      </c>
      <c r="AA20" s="15">
        <f>Z20*X20</f>
        <v>6.2975999999999996E-6</v>
      </c>
      <c r="AB20" s="16"/>
    </row>
    <row r="21" spans="1:28" ht="15.75" customHeight="1" x14ac:dyDescent="0.15">
      <c r="A21" s="5" t="s">
        <v>41</v>
      </c>
      <c r="B21" s="5">
        <v>7</v>
      </c>
      <c r="C21" s="5" t="s">
        <v>20</v>
      </c>
      <c r="D21" s="8">
        <f>VLOOKUP(A21,Odds!A40:I40,4,FALSE)</f>
        <v>0.52203999999999995</v>
      </c>
      <c r="E21" s="9">
        <f>VLOOKUP(A21,'Yahoo WPW'!A40:I40,4,FALSE)</f>
        <v>0.64439999999999997</v>
      </c>
      <c r="F21" s="9">
        <f>D21-E21</f>
        <v>-0.12236000000000002</v>
      </c>
      <c r="G21" s="15">
        <f>F21*D21</f>
        <v>-6.3876814400000009E-2</v>
      </c>
      <c r="H21" s="9">
        <f>VLOOKUP(A21,Odds!A40:I40,5,FALSE)</f>
        <v>0.17763999999999999</v>
      </c>
      <c r="I21" s="9">
        <f>VLOOKUP(A21,'Yahoo WPW'!A40:I40,5,FALSE)</f>
        <v>0.14580000000000001</v>
      </c>
      <c r="J21" s="9">
        <f>H21-I21</f>
        <v>3.1839999999999979E-2</v>
      </c>
      <c r="K21" s="15">
        <f>J21*H21</f>
        <v>5.6560575999999958E-3</v>
      </c>
      <c r="L21" s="9">
        <f>VLOOKUP(A21,Odds!A40:I40,6,FALSE)</f>
        <v>8.7989999999999999E-2</v>
      </c>
      <c r="M21" s="9">
        <f>VLOOKUP(A21,'Yahoo WPW'!A40:I40,6,FALSE)</f>
        <v>5.0900000000000001E-2</v>
      </c>
      <c r="N21" s="9">
        <f>L21-M21</f>
        <v>3.7089999999999998E-2</v>
      </c>
      <c r="O21" s="15">
        <f>N21*L21</f>
        <v>3.2635490999999997E-3</v>
      </c>
      <c r="P21" s="9">
        <f>VLOOKUP(A21,Odds!A40:I40,7,FALSE)</f>
        <v>3.3029999999999997E-2</v>
      </c>
      <c r="Q21" s="9">
        <f>VLOOKUP(A21,'Yahoo WPW'!A40:I40,7,FALSE)</f>
        <v>1.1599999999999999E-2</v>
      </c>
      <c r="R21" s="9">
        <f>P21-Q21</f>
        <v>2.1429999999999998E-2</v>
      </c>
      <c r="S21" s="15">
        <f>R21*P21</f>
        <v>7.0783289999999991E-4</v>
      </c>
      <c r="T21" s="9">
        <f>VLOOKUP(A21,Odds!A40:I40,8,FALSE)</f>
        <v>9.9000000000000008E-3</v>
      </c>
      <c r="U21" s="9">
        <f>VLOOKUP(A21,'Yahoo WPW'!A40:I40,8,FALSE)</f>
        <v>3.8E-3</v>
      </c>
      <c r="V21" s="9">
        <f>T21-U21</f>
        <v>6.1000000000000013E-3</v>
      </c>
      <c r="W21" s="15">
        <f>V21*T21</f>
        <v>6.0390000000000016E-5</v>
      </c>
      <c r="X21" s="9">
        <f>VLOOKUP(A21,Odds!A40:I40,9,FALSE)</f>
        <v>2.9499999999999999E-3</v>
      </c>
      <c r="Y21" s="9">
        <f>VLOOKUP(A21,'Yahoo WPW'!A40:I40,9,FALSE)</f>
        <v>1.5E-3</v>
      </c>
      <c r="Z21" s="9">
        <f>X21-Y21</f>
        <v>1.4499999999999999E-3</v>
      </c>
      <c r="AA21" s="15">
        <f>Z21*X21</f>
        <v>4.2774999999999993E-6</v>
      </c>
      <c r="AB21" s="16"/>
    </row>
    <row r="22" spans="1:28" ht="15.75" customHeight="1" x14ac:dyDescent="0.15">
      <c r="A22" s="5" t="s">
        <v>38</v>
      </c>
      <c r="B22" s="5">
        <v>4</v>
      </c>
      <c r="C22" s="5" t="s">
        <v>20</v>
      </c>
      <c r="D22" s="8">
        <f>VLOOKUP(A22,Odds!A37:I37,4,FALSE)</f>
        <v>0.67588000000000004</v>
      </c>
      <c r="E22" s="9">
        <f>VLOOKUP(A22,'Yahoo WPW'!A37:I37,4,FALSE)</f>
        <v>0.77529999999999999</v>
      </c>
      <c r="F22" s="9">
        <f>D22-E22</f>
        <v>-9.9419999999999953E-2</v>
      </c>
      <c r="G22" s="15">
        <f>F22*D22</f>
        <v>-6.7195989599999978E-2</v>
      </c>
      <c r="H22" s="9">
        <f>VLOOKUP(A22,Odds!A37:I37,5,FALSE)</f>
        <v>0.34339999999999998</v>
      </c>
      <c r="I22" s="9">
        <f>VLOOKUP(A22,'Yahoo WPW'!A37:I37,5,FALSE)</f>
        <v>0.35239999999999999</v>
      </c>
      <c r="J22" s="9">
        <f>H22-I22</f>
        <v>-9.000000000000008E-3</v>
      </c>
      <c r="K22" s="15">
        <f>J22*H22</f>
        <v>-3.0906000000000028E-3</v>
      </c>
      <c r="L22" s="9">
        <f>VLOOKUP(A22,Odds!A37:I37,6,FALSE)</f>
        <v>0.10927000000000001</v>
      </c>
      <c r="M22" s="9">
        <f>VLOOKUP(A22,'Yahoo WPW'!A37:I37,6,FALSE)</f>
        <v>6.4899999999999999E-2</v>
      </c>
      <c r="N22" s="9">
        <f>L22-M22</f>
        <v>4.4370000000000007E-2</v>
      </c>
      <c r="O22" s="15">
        <f>N22*L22</f>
        <v>4.848309900000001E-3</v>
      </c>
      <c r="P22" s="9">
        <f>VLOOKUP(A22,Odds!A37:I37,7,FALSE)</f>
        <v>4.5269999999999998E-2</v>
      </c>
      <c r="Q22" s="9">
        <f>VLOOKUP(A22,'Yahoo WPW'!A37:I37,7,FALSE)</f>
        <v>2.7400000000000001E-2</v>
      </c>
      <c r="R22" s="9">
        <f>P22-Q22</f>
        <v>1.7869999999999997E-2</v>
      </c>
      <c r="S22" s="15">
        <f>R22*P22</f>
        <v>8.0897489999999983E-4</v>
      </c>
      <c r="T22" s="9">
        <f>VLOOKUP(A22,Odds!A37:I37,8,FALSE)</f>
        <v>1.379E-2</v>
      </c>
      <c r="U22" s="9">
        <f>VLOOKUP(A22,'Yahoo WPW'!A37:I37,8,FALSE)</f>
        <v>9.2999999999999992E-3</v>
      </c>
      <c r="V22" s="9">
        <f>T22-U22</f>
        <v>4.4900000000000009E-3</v>
      </c>
      <c r="W22" s="15">
        <f>V22*T22</f>
        <v>6.1917100000000017E-5</v>
      </c>
      <c r="X22" s="9">
        <f>VLOOKUP(A22,Odds!A37:I37,9,FALSE)</f>
        <v>4.0299999999999997E-3</v>
      </c>
      <c r="Y22" s="9">
        <f>VLOOKUP(A22,'Yahoo WPW'!A37:I37,9,FALSE)</f>
        <v>3.0999999999999999E-3</v>
      </c>
      <c r="Z22" s="9">
        <f>X22-Y22</f>
        <v>9.2999999999999984E-4</v>
      </c>
      <c r="AA22" s="15">
        <f>Z22*X22</f>
        <v>3.7478999999999993E-6</v>
      </c>
      <c r="AB22" s="16"/>
    </row>
    <row r="23" spans="1:28" ht="15.75" customHeight="1" x14ac:dyDescent="0.15">
      <c r="A23" s="5" t="s">
        <v>48</v>
      </c>
      <c r="B23" s="5">
        <v>10</v>
      </c>
      <c r="C23" s="5" t="s">
        <v>20</v>
      </c>
      <c r="D23" s="8">
        <f>VLOOKUP(A23,Odds!A43:I43,4,FALSE)</f>
        <v>0.47796</v>
      </c>
      <c r="E23" s="9">
        <f>VLOOKUP(A23,'Yahoo WPW'!A43:I43,4,FALSE)</f>
        <v>0.3367</v>
      </c>
      <c r="F23" s="9">
        <f>D23-E23</f>
        <v>0.14126</v>
      </c>
      <c r="G23" s="15">
        <f>F23*D23</f>
        <v>6.7516629600000003E-2</v>
      </c>
      <c r="H23" s="9">
        <f>VLOOKUP(A23,Odds!A43:I43,5,FALSE)</f>
        <v>0.15451000000000001</v>
      </c>
      <c r="I23" s="9">
        <f>VLOOKUP(A23,'Yahoo WPW'!A43:I43,5,FALSE)</f>
        <v>3.8699999999999998E-2</v>
      </c>
      <c r="J23" s="9">
        <f>H23-I23</f>
        <v>0.11581000000000001</v>
      </c>
      <c r="K23" s="15">
        <f>J23*H23</f>
        <v>1.7893803100000001E-2</v>
      </c>
      <c r="L23" s="9">
        <f>VLOOKUP(A23,Odds!A43:I43,6,FALSE)</f>
        <v>7.3279999999999998E-2</v>
      </c>
      <c r="M23" s="9">
        <f>VLOOKUP(A23,'Yahoo WPW'!A43:I43,6,FALSE)</f>
        <v>1.3599999999999999E-2</v>
      </c>
      <c r="N23" s="9">
        <f>L23-M23</f>
        <v>5.9679999999999997E-2</v>
      </c>
      <c r="O23" s="15">
        <f>N23*L23</f>
        <v>4.3733503999999999E-3</v>
      </c>
      <c r="P23" s="9">
        <f>VLOOKUP(A23,Odds!A43:I43,7,FALSE)</f>
        <v>2.4830000000000001E-2</v>
      </c>
      <c r="Q23" s="9">
        <f>VLOOKUP(A23,'Yahoo WPW'!A43:I43,7,FALSE)</f>
        <v>3.5000000000000001E-3</v>
      </c>
      <c r="R23" s="9">
        <f>P23-Q23</f>
        <v>2.1330000000000002E-2</v>
      </c>
      <c r="S23" s="15">
        <f>R23*P23</f>
        <v>5.296239000000001E-4</v>
      </c>
      <c r="T23" s="9">
        <f>VLOOKUP(A23,Odds!A43:I43,8,FALSE)</f>
        <v>6.6100000000000004E-3</v>
      </c>
      <c r="U23" s="9">
        <f>VLOOKUP(A23,'Yahoo WPW'!A43:I43,8,FALSE)</f>
        <v>1.2999999999999999E-3</v>
      </c>
      <c r="V23" s="9">
        <f>T23-U23</f>
        <v>5.3100000000000005E-3</v>
      </c>
      <c r="W23" s="15">
        <f>V23*T23</f>
        <v>3.5099100000000004E-5</v>
      </c>
      <c r="X23" s="9">
        <f>VLOOKUP(A23,Odds!A43:I43,9,FALSE)</f>
        <v>1.8799999999999999E-3</v>
      </c>
      <c r="Y23" s="9">
        <f>VLOOKUP(A23,'Yahoo WPW'!A43:I43,9,FALSE)</f>
        <v>5.9999999999999995E-4</v>
      </c>
      <c r="Z23" s="9">
        <f>X23-Y23</f>
        <v>1.2799999999999999E-3</v>
      </c>
      <c r="AA23" s="15">
        <f>Z23*X23</f>
        <v>2.4063999999999995E-6</v>
      </c>
      <c r="AB23" s="16"/>
    </row>
    <row r="24" spans="1:28" ht="15.75" customHeight="1" x14ac:dyDescent="0.15">
      <c r="A24" s="5" t="s">
        <v>45</v>
      </c>
      <c r="B24" s="5">
        <v>11</v>
      </c>
      <c r="C24" s="5" t="s">
        <v>16</v>
      </c>
      <c r="D24" s="8">
        <f>VLOOKUP(A24,Odds!A60:I60,4,FALSE)</f>
        <v>0.54398000000000002</v>
      </c>
      <c r="E24" s="9">
        <f>VLOOKUP(A24,'Yahoo WPW'!A60:I60,4,FALSE)</f>
        <v>0.38300000000000001</v>
      </c>
      <c r="F24" s="9">
        <f>D24-E24</f>
        <v>0.16098000000000001</v>
      </c>
      <c r="G24" s="15">
        <f>F24*D24</f>
        <v>8.7569900400000011E-2</v>
      </c>
      <c r="H24" s="9">
        <f>VLOOKUP(A24,Odds!A60:I60,5,FALSE)</f>
        <v>0.22555</v>
      </c>
      <c r="I24" s="9">
        <f>VLOOKUP(A24,'Yahoo WPW'!A60:I60,5,FALSE)</f>
        <v>0.12189999999999999</v>
      </c>
      <c r="J24" s="9">
        <f>H24-I24</f>
        <v>0.10365000000000001</v>
      </c>
      <c r="K24" s="15">
        <f>J24*H24</f>
        <v>2.3378257500000003E-2</v>
      </c>
      <c r="L24" s="9">
        <f>VLOOKUP(A24,Odds!A60:I60,6,FALSE)</f>
        <v>7.4719999999999995E-2</v>
      </c>
      <c r="M24" s="9">
        <f>VLOOKUP(A24,'Yahoo WPW'!A60:I60,6,FALSE)</f>
        <v>2.4500000000000001E-2</v>
      </c>
      <c r="N24" s="9">
        <f>L24-M24</f>
        <v>5.0219999999999994E-2</v>
      </c>
      <c r="O24" s="15">
        <f>N24*L24</f>
        <v>3.7524383999999991E-3</v>
      </c>
      <c r="P24" s="9">
        <f>VLOOKUP(A24,Odds!A60:I60,7,FALSE)</f>
        <v>2.051E-2</v>
      </c>
      <c r="Q24" s="9">
        <f>VLOOKUP(A24,'Yahoo WPW'!A60:I60,7,FALSE)</f>
        <v>5.8999999999999999E-3</v>
      </c>
      <c r="R24" s="9">
        <f>P24-Q24</f>
        <v>1.4610000000000001E-2</v>
      </c>
      <c r="S24" s="15">
        <f>R24*P24</f>
        <v>2.9965110000000004E-4</v>
      </c>
      <c r="T24" s="9">
        <f>VLOOKUP(A24,Odds!A60:I60,8,FALSE)</f>
        <v>6.96E-3</v>
      </c>
      <c r="U24" s="9">
        <f>VLOOKUP(A24,'Yahoo WPW'!A60:I60,8,FALSE)</f>
        <v>2.5000000000000001E-3</v>
      </c>
      <c r="V24" s="9">
        <f>T24-U24</f>
        <v>4.4600000000000004E-3</v>
      </c>
      <c r="W24" s="15">
        <f>V24*T24</f>
        <v>3.1041600000000004E-5</v>
      </c>
      <c r="X24" s="9">
        <f>VLOOKUP(A24,Odds!A60:I60,9,FALSE)</f>
        <v>2.0300000000000001E-3</v>
      </c>
      <c r="Y24" s="9">
        <f>VLOOKUP(A24,'Yahoo WPW'!A60:I60,9,FALSE)</f>
        <v>8.9999999999999998E-4</v>
      </c>
      <c r="Z24" s="9">
        <f>X24-Y24</f>
        <v>1.1300000000000001E-3</v>
      </c>
      <c r="AA24" s="15">
        <f>Z24*X24</f>
        <v>2.2939000000000006E-6</v>
      </c>
      <c r="AB24" s="16"/>
    </row>
    <row r="25" spans="1:28" ht="15.75" customHeight="1" x14ac:dyDescent="0.15">
      <c r="A25" s="5" t="s">
        <v>46</v>
      </c>
      <c r="B25" s="5">
        <v>12</v>
      </c>
      <c r="C25" s="5" t="s">
        <v>20</v>
      </c>
      <c r="D25" s="8">
        <f>VLOOKUP(A25,Odds!A45:I45,4,FALSE)</f>
        <v>0.44439000000000001</v>
      </c>
      <c r="E25" s="9">
        <f>VLOOKUP(A25,'Yahoo WPW'!A45:I45,4,FALSE)</f>
        <v>0.19309999999999999</v>
      </c>
      <c r="F25" s="9">
        <f>D25-E25</f>
        <v>0.25129000000000001</v>
      </c>
      <c r="G25" s="15">
        <f>F25*D25</f>
        <v>0.11167076310000001</v>
      </c>
      <c r="H25" s="9">
        <f>VLOOKUP(A25,Odds!A45:I45,5,FALSE)</f>
        <v>0.23225000000000001</v>
      </c>
      <c r="I25" s="9">
        <f>VLOOKUP(A25,'Yahoo WPW'!A45:I45,5,FALSE)</f>
        <v>8.2699999999999996E-2</v>
      </c>
      <c r="J25" s="9">
        <f>H25-I25</f>
        <v>0.14955000000000002</v>
      </c>
      <c r="K25" s="15">
        <f>J25*H25</f>
        <v>3.4732987500000007E-2</v>
      </c>
      <c r="L25" s="9">
        <f>VLOOKUP(A25,Odds!A45:I45,6,FALSE)</f>
        <v>6.7140000000000005E-2</v>
      </c>
      <c r="M25" s="9">
        <f>VLOOKUP(A25,'Yahoo WPW'!A45:I45,6,FALSE)</f>
        <v>1.15E-2</v>
      </c>
      <c r="N25" s="9">
        <f>L25-M25</f>
        <v>5.5640000000000009E-2</v>
      </c>
      <c r="O25" s="15">
        <f>N25*L25</f>
        <v>3.7356696000000007E-3</v>
      </c>
      <c r="P25" s="9">
        <f>VLOOKUP(A25,Odds!A45:I45,7,FALSE)</f>
        <v>2.4629999999999999E-2</v>
      </c>
      <c r="Q25" s="9">
        <f>VLOOKUP(A25,'Yahoo WPW'!A45:I45,7,FALSE)</f>
        <v>5.1999999999999998E-3</v>
      </c>
      <c r="R25" s="9">
        <f>P25-Q25</f>
        <v>1.9429999999999999E-2</v>
      </c>
      <c r="S25" s="15">
        <f>R25*P25</f>
        <v>4.7856089999999998E-4</v>
      </c>
      <c r="T25" s="9">
        <f>VLOOKUP(A25,Odds!A45:I45,8,FALSE)</f>
        <v>6.62E-3</v>
      </c>
      <c r="U25" s="9">
        <f>VLOOKUP(A25,'Yahoo WPW'!A45:I45,8,FALSE)</f>
        <v>2.0999999999999999E-3</v>
      </c>
      <c r="V25" s="9">
        <f>T25-U25</f>
        <v>4.5199999999999997E-3</v>
      </c>
      <c r="W25" s="15">
        <f>V25*T25</f>
        <v>2.9922399999999997E-5</v>
      </c>
      <c r="X25" s="9">
        <f>VLOOKUP(A25,Odds!A45:I45,9,FALSE)</f>
        <v>2.0200000000000001E-3</v>
      </c>
      <c r="Y25" s="9">
        <f>VLOOKUP(A25,'Yahoo WPW'!A45:I45,9,FALSE)</f>
        <v>8.9999999999999998E-4</v>
      </c>
      <c r="Z25" s="9">
        <f>X25-Y25</f>
        <v>1.1200000000000001E-3</v>
      </c>
      <c r="AA25" s="15">
        <f>Z25*X25</f>
        <v>2.2624000000000001E-6</v>
      </c>
      <c r="AB25" s="16"/>
    </row>
    <row r="26" spans="1:28" ht="15.75" customHeight="1" x14ac:dyDescent="0.15">
      <c r="A26" s="5" t="s">
        <v>44</v>
      </c>
      <c r="B26" s="5">
        <v>9</v>
      </c>
      <c r="C26" s="5" t="s">
        <v>20</v>
      </c>
      <c r="D26" s="8">
        <f>VLOOKUP(A26,Odds!A42:I42,4,FALSE)</f>
        <v>0.42737000000000003</v>
      </c>
      <c r="E26" s="9">
        <f>VLOOKUP(A26,'Yahoo WPW'!A42:I42,4,FALSE)</f>
        <v>0.43909999999999999</v>
      </c>
      <c r="F26" s="9">
        <f>D26-E26</f>
        <v>-1.1729999999999963E-2</v>
      </c>
      <c r="G26" s="15">
        <f>F26*D26</f>
        <v>-5.0130500999999847E-3</v>
      </c>
      <c r="H26" s="9">
        <f>VLOOKUP(A26,Odds!A42:I42,5,FALSE)</f>
        <v>0.11519</v>
      </c>
      <c r="I26" s="9">
        <f>VLOOKUP(A26,'Yahoo WPW'!A42:I42,5,FALSE)</f>
        <v>4.5699999999999998E-2</v>
      </c>
      <c r="J26" s="9">
        <f>H26-I26</f>
        <v>6.9489999999999996E-2</v>
      </c>
      <c r="K26" s="15">
        <f>J26*H26</f>
        <v>8.0045530999999989E-3</v>
      </c>
      <c r="L26" s="9">
        <f>VLOOKUP(A26,Odds!A42:I42,6,FALSE)</f>
        <v>6.0150000000000002E-2</v>
      </c>
      <c r="M26" s="9">
        <f>VLOOKUP(A26,'Yahoo WPW'!A42:I42,6,FALSE)</f>
        <v>2.0199999999999999E-2</v>
      </c>
      <c r="N26" s="9">
        <f>L26-M26</f>
        <v>3.9949999999999999E-2</v>
      </c>
      <c r="O26" s="15">
        <f>N26*L26</f>
        <v>2.4029925000000002E-3</v>
      </c>
      <c r="P26" s="9">
        <f>VLOOKUP(A26,Odds!A42:I42,7,FALSE)</f>
        <v>2.4369999999999999E-2</v>
      </c>
      <c r="Q26" s="9">
        <f>VLOOKUP(A26,'Yahoo WPW'!A42:I42,7,FALSE)</f>
        <v>7.9000000000000008E-3</v>
      </c>
      <c r="R26" s="9">
        <f>P26-Q26</f>
        <v>1.6469999999999999E-2</v>
      </c>
      <c r="S26" s="15">
        <f>R26*P26</f>
        <v>4.0137389999999993E-4</v>
      </c>
      <c r="T26" s="9">
        <f>VLOOKUP(A26,Odds!A42:I42,8,FALSE)</f>
        <v>7.0800000000000004E-3</v>
      </c>
      <c r="U26" s="9">
        <f>VLOOKUP(A26,'Yahoo WPW'!A42:I42,8,FALSE)</f>
        <v>2.8E-3</v>
      </c>
      <c r="V26" s="9">
        <f>T26-U26</f>
        <v>4.2800000000000008E-3</v>
      </c>
      <c r="W26" s="15">
        <f>V26*T26</f>
        <v>3.0302400000000007E-5</v>
      </c>
      <c r="X26" s="9">
        <f>VLOOKUP(A26,Odds!A42:I42,9,FALSE)</f>
        <v>2.15E-3</v>
      </c>
      <c r="Y26" s="9">
        <f>VLOOKUP(A26,'Yahoo WPW'!A42:I42,9,FALSE)</f>
        <v>1.2999999999999999E-3</v>
      </c>
      <c r="Z26" s="9">
        <f>X26-Y26</f>
        <v>8.5000000000000006E-4</v>
      </c>
      <c r="AA26" s="15">
        <f>Z26*X26</f>
        <v>1.8275000000000001E-6</v>
      </c>
      <c r="AB26" s="16"/>
    </row>
    <row r="27" spans="1:28" ht="15.75" customHeight="1" x14ac:dyDescent="0.15">
      <c r="A27" s="5" t="s">
        <v>50</v>
      </c>
      <c r="B27" s="5">
        <v>11</v>
      </c>
      <c r="C27" s="5" t="s">
        <v>14</v>
      </c>
      <c r="D27" s="8">
        <f>VLOOKUP(A27,Odds!A28:I28,4,FALSE)</f>
        <v>0.44169000000000003</v>
      </c>
      <c r="E27" s="9">
        <f>VLOOKUP(A27,'Yahoo WPW'!A28:I28,4,FALSE)</f>
        <v>0.22459999999999999</v>
      </c>
      <c r="F27" s="9">
        <f>D27-E27</f>
        <v>0.21709000000000003</v>
      </c>
      <c r="G27" s="15">
        <f>F27*D27</f>
        <v>9.5886482100000017E-2</v>
      </c>
      <c r="H27" s="9">
        <f>VLOOKUP(A27,Odds!A28:I28,5,FALSE)</f>
        <v>0.24540999999999999</v>
      </c>
      <c r="I27" s="9">
        <f>VLOOKUP(A27,'Yahoo WPW'!A28:I28,5,FALSE)</f>
        <v>5.7099999999999998E-2</v>
      </c>
      <c r="J27" s="9">
        <f>H27-I27</f>
        <v>0.18830999999999998</v>
      </c>
      <c r="K27" s="15">
        <f>J27*H27</f>
        <v>4.6213157099999992E-2</v>
      </c>
      <c r="L27" s="9">
        <f>VLOOKUP(A27,Odds!A28:I28,6,FALSE)</f>
        <v>8.8050000000000003E-2</v>
      </c>
      <c r="M27" s="9">
        <f>VLOOKUP(A27,'Yahoo WPW'!A28:I28,6,FALSE)</f>
        <v>1.0699999999999999E-2</v>
      </c>
      <c r="N27" s="9">
        <f>L27-M27</f>
        <v>7.7350000000000002E-2</v>
      </c>
      <c r="O27" s="15">
        <f>N27*L27</f>
        <v>6.8106675E-3</v>
      </c>
      <c r="P27" s="9">
        <f>VLOOKUP(A27,Odds!A28:I28,7,FALSE)</f>
        <v>2.3369999999999998E-2</v>
      </c>
      <c r="Q27" s="9">
        <f>VLOOKUP(A27,'Yahoo WPW'!A28:I28,7,FALSE)</f>
        <v>3.2000000000000002E-3</v>
      </c>
      <c r="R27" s="9">
        <f>P27-Q27</f>
        <v>2.0169999999999997E-2</v>
      </c>
      <c r="S27" s="15">
        <f>R27*P27</f>
        <v>4.7137289999999989E-4</v>
      </c>
      <c r="T27" s="9">
        <f>VLOOKUP(A27,Odds!A28:I28,8,FALSE)</f>
        <v>6.6899999999999998E-3</v>
      </c>
      <c r="U27" s="9">
        <f>VLOOKUP(A27,'Yahoo WPW'!A28:I28,8,FALSE)</f>
        <v>1.2999999999999999E-3</v>
      </c>
      <c r="V27" s="9">
        <f>T27-U27</f>
        <v>5.3899999999999998E-3</v>
      </c>
      <c r="W27" s="15">
        <f>V27*T27</f>
        <v>3.6059099999999995E-5</v>
      </c>
      <c r="X27" s="9">
        <f>VLOOKUP(A27,Odds!A28:I28,9,FALSE)</f>
        <v>1.6199999999999999E-3</v>
      </c>
      <c r="Y27" s="9">
        <f>VLOOKUP(A27,'Yahoo WPW'!A28:I28,9,FALSE)</f>
        <v>6.9999999999999999E-4</v>
      </c>
      <c r="Z27" s="9">
        <f>X27-Y27</f>
        <v>9.1999999999999992E-4</v>
      </c>
      <c r="AA27" s="15">
        <f>Z27*X27</f>
        <v>1.4903999999999997E-6</v>
      </c>
      <c r="AB27" s="16"/>
    </row>
    <row r="28" spans="1:28" ht="15.75" customHeight="1" x14ac:dyDescent="0.15">
      <c r="A28" s="5" t="s">
        <v>54</v>
      </c>
      <c r="B28" s="5">
        <v>12</v>
      </c>
      <c r="C28" s="5" t="s">
        <v>16</v>
      </c>
      <c r="D28" s="8">
        <f>VLOOKUP(A28,Odds!A61:I61,4,FALSE)</f>
        <v>0.47591</v>
      </c>
      <c r="E28" s="9">
        <f>VLOOKUP(A28,'Yahoo WPW'!A61:I61,4,FALSE)</f>
        <v>0.27789999999999998</v>
      </c>
      <c r="F28" s="9">
        <f>D28-E28</f>
        <v>0.19801000000000002</v>
      </c>
      <c r="G28" s="15">
        <f>F28*D28</f>
        <v>9.4234939100000012E-2</v>
      </c>
      <c r="H28" s="9">
        <f>VLOOKUP(A28,Odds!A61:I61,5,FALSE)</f>
        <v>0.18138000000000001</v>
      </c>
      <c r="I28" s="9">
        <f>VLOOKUP(A28,'Yahoo WPW'!A61:I61,5,FALSE)</f>
        <v>6.83E-2</v>
      </c>
      <c r="J28" s="9">
        <f>H28-I28</f>
        <v>0.11308000000000001</v>
      </c>
      <c r="K28" s="15">
        <f>J28*H28</f>
        <v>2.0510450400000005E-2</v>
      </c>
      <c r="L28" s="9">
        <f>VLOOKUP(A28,Odds!A61:I61,6,FALSE)</f>
        <v>4.1709999999999997E-2</v>
      </c>
      <c r="M28" s="9">
        <f>VLOOKUP(A28,'Yahoo WPW'!A61:I61,6,FALSE)</f>
        <v>8.3999999999999995E-3</v>
      </c>
      <c r="N28" s="9">
        <f>L28-M28</f>
        <v>3.3309999999999999E-2</v>
      </c>
      <c r="O28" s="15">
        <f>N28*L28</f>
        <v>1.3893600999999999E-3</v>
      </c>
      <c r="P28" s="9">
        <f>VLOOKUP(A28,Odds!A61:I61,7,FALSE)</f>
        <v>1.384E-2</v>
      </c>
      <c r="Q28" s="9">
        <f>VLOOKUP(A28,'Yahoo WPW'!A61:I61,7,FALSE)</f>
        <v>3.3999999999999998E-3</v>
      </c>
      <c r="R28" s="9">
        <f>P28-Q28</f>
        <v>1.044E-2</v>
      </c>
      <c r="S28" s="15">
        <f>R28*P28</f>
        <v>1.4448959999999999E-4</v>
      </c>
      <c r="T28" s="9">
        <f>VLOOKUP(A28,Odds!A61:I61,8,FALSE)</f>
        <v>4.4200000000000003E-3</v>
      </c>
      <c r="U28" s="9">
        <f>VLOOKUP(A28,'Yahoo WPW'!A61:I61,8,FALSE)</f>
        <v>1.5E-3</v>
      </c>
      <c r="V28" s="9">
        <f>T28-U28</f>
        <v>2.9200000000000003E-3</v>
      </c>
      <c r="W28" s="15">
        <f>V28*T28</f>
        <v>1.2906400000000002E-5</v>
      </c>
      <c r="X28" s="9">
        <f>VLOOKUP(A28,Odds!A61:I61,9,FALSE)</f>
        <v>1.1299999999999999E-3</v>
      </c>
      <c r="Y28" s="9">
        <f>VLOOKUP(A28,'Yahoo WPW'!A61:I61,9,FALSE)</f>
        <v>6.9999999999999999E-4</v>
      </c>
      <c r="Z28" s="9">
        <f>X28-Y28</f>
        <v>4.2999999999999994E-4</v>
      </c>
      <c r="AA28" s="15">
        <f>Z28*X28</f>
        <v>4.8589999999999987E-7</v>
      </c>
      <c r="AB28" s="16"/>
    </row>
    <row r="29" spans="1:28" ht="15.75" customHeight="1" x14ac:dyDescent="0.15">
      <c r="A29" s="5" t="s">
        <v>51</v>
      </c>
      <c r="B29" s="5">
        <v>9</v>
      </c>
      <c r="C29" s="5" t="s">
        <v>18</v>
      </c>
      <c r="D29" s="8">
        <f>VLOOKUP(A29,Odds!A10:I10,4,FALSE)</f>
        <v>0.57796999999999998</v>
      </c>
      <c r="E29" s="9">
        <f>VLOOKUP(A29,'Yahoo WPW'!A10:I10,4,FALSE)</f>
        <v>0.54720000000000002</v>
      </c>
      <c r="F29" s="9">
        <f>D29-E29</f>
        <v>3.0769999999999964E-2</v>
      </c>
      <c r="G29" s="15">
        <f>F29*D29</f>
        <v>1.778413689999998E-2</v>
      </c>
      <c r="H29" s="9">
        <f>VLOOKUP(A29,Odds!A10:I10,5,FALSE)</f>
        <v>0.12217</v>
      </c>
      <c r="I29" s="9">
        <f>VLOOKUP(A29,'Yahoo WPW'!A10:I10,5,FALSE)</f>
        <v>3.7900000000000003E-2</v>
      </c>
      <c r="J29" s="9">
        <f>H29-I29</f>
        <v>8.4269999999999998E-2</v>
      </c>
      <c r="K29" s="15">
        <f>J29*H29</f>
        <v>1.0295265899999999E-2</v>
      </c>
      <c r="L29" s="9">
        <f>VLOOKUP(A29,Odds!A10:I10,6,FALSE)</f>
        <v>5.3580000000000003E-2</v>
      </c>
      <c r="M29" s="9">
        <f>VLOOKUP(A29,'Yahoo WPW'!A10:I10,6,FALSE)</f>
        <v>1.4800000000000001E-2</v>
      </c>
      <c r="N29" s="9">
        <f>L29-M29</f>
        <v>3.8780000000000002E-2</v>
      </c>
      <c r="O29" s="15">
        <f>N29*L29</f>
        <v>2.0778324000000001E-3</v>
      </c>
      <c r="P29" s="9">
        <f>VLOOKUP(A29,Odds!A10:I10,7,FALSE)</f>
        <v>1.9959999999999999E-2</v>
      </c>
      <c r="Q29" s="9">
        <f>VLOOKUP(A29,'Yahoo WPW'!A10:I10,7,FALSE)</f>
        <v>6.7000000000000002E-3</v>
      </c>
      <c r="R29" s="9">
        <f>P29-Q29</f>
        <v>1.3259999999999997E-2</v>
      </c>
      <c r="S29" s="15">
        <f>R29*P29</f>
        <v>2.6466959999999992E-4</v>
      </c>
      <c r="T29" s="9">
        <f>VLOOKUP(A29,Odds!A10:I10,8,FALSE)</f>
        <v>5.8999999999999999E-3</v>
      </c>
      <c r="U29" s="9">
        <f>VLOOKUP(A29,'Yahoo WPW'!A10:I10,8,FALSE)</f>
        <v>2.7000000000000001E-3</v>
      </c>
      <c r="V29" s="9">
        <f>T29-U29</f>
        <v>3.1999999999999997E-3</v>
      </c>
      <c r="W29" s="15">
        <f>V29*T29</f>
        <v>1.8879999999999999E-5</v>
      </c>
      <c r="X29" s="9">
        <f>VLOOKUP(A29,Odds!A10:I10,9,FALSE)</f>
        <v>1.56E-3</v>
      </c>
      <c r="Y29" s="9">
        <f>VLOOKUP(A29,'Yahoo WPW'!A10:I10,9,FALSE)</f>
        <v>1.2999999999999999E-3</v>
      </c>
      <c r="Z29" s="9">
        <f>X29-Y29</f>
        <v>2.6000000000000003E-4</v>
      </c>
      <c r="AA29" s="15">
        <f>Z29*X29</f>
        <v>4.0560000000000003E-7</v>
      </c>
      <c r="AB29" s="16"/>
    </row>
    <row r="30" spans="1:28" ht="15.75" customHeight="1" x14ac:dyDescent="0.15">
      <c r="A30" s="5" t="s">
        <v>58</v>
      </c>
      <c r="B30" s="5">
        <v>10</v>
      </c>
      <c r="C30" s="5" t="s">
        <v>14</v>
      </c>
      <c r="D30" s="8">
        <f>VLOOKUP(A30,Odds!A27:I27,4,FALSE)</f>
        <v>0.43968000000000002</v>
      </c>
      <c r="E30" s="9">
        <f>VLOOKUP(A30,'Yahoo WPW'!A27:I27,4,FALSE)</f>
        <v>0.313</v>
      </c>
      <c r="F30" s="9">
        <f>D30-E30</f>
        <v>0.12668000000000001</v>
      </c>
      <c r="G30" s="15">
        <f>F30*D30</f>
        <v>5.5698662400000008E-2</v>
      </c>
      <c r="H30" s="9">
        <f>VLOOKUP(A30,Odds!A27:I27,5,FALSE)</f>
        <v>0.11395</v>
      </c>
      <c r="I30" s="9">
        <f>VLOOKUP(A30,'Yahoo WPW'!A27:I27,5,FALSE)</f>
        <v>3.1800000000000002E-2</v>
      </c>
      <c r="J30" s="9">
        <f>H30-I30</f>
        <v>8.2150000000000001E-2</v>
      </c>
      <c r="K30" s="15">
        <f>J30*H30</f>
        <v>9.3609925E-3</v>
      </c>
      <c r="L30" s="9">
        <f>VLOOKUP(A30,Odds!A27:I27,6,FALSE)</f>
        <v>4.7690000000000003E-2</v>
      </c>
      <c r="M30" s="9">
        <f>VLOOKUP(A30,'Yahoo WPW'!A27:I27,6,FALSE)</f>
        <v>9.7000000000000003E-3</v>
      </c>
      <c r="N30" s="9">
        <f>L30-M30</f>
        <v>3.7990000000000003E-2</v>
      </c>
      <c r="O30" s="15">
        <f>N30*L30</f>
        <v>1.8117431000000002E-3</v>
      </c>
      <c r="P30" s="9">
        <f>VLOOKUP(A30,Odds!A27:I27,7,FALSE)</f>
        <v>9.9699999999999997E-3</v>
      </c>
      <c r="Q30" s="9">
        <f>VLOOKUP(A30,'Yahoo WPW'!A27:I27,7,FALSE)</f>
        <v>2.8999999999999998E-3</v>
      </c>
      <c r="R30" s="9">
        <f>P30-Q30</f>
        <v>7.0699999999999999E-3</v>
      </c>
      <c r="S30" s="15">
        <f>R30*P30</f>
        <v>7.04879E-5</v>
      </c>
      <c r="T30" s="9">
        <f>VLOOKUP(A30,Odds!A27:I27,8,FALSE)</f>
        <v>2.1700000000000001E-3</v>
      </c>
      <c r="U30" s="9">
        <f>VLOOKUP(A30,'Yahoo WPW'!A27:I27,8,FALSE)</f>
        <v>1.1000000000000001E-3</v>
      </c>
      <c r="V30" s="9">
        <f>T30-U30</f>
        <v>1.07E-3</v>
      </c>
      <c r="W30" s="15">
        <f>V30*T30</f>
        <v>2.3219000000000002E-6</v>
      </c>
      <c r="X30" s="9">
        <f>VLOOKUP(A30,Odds!A27:I27,9,FALSE)</f>
        <v>4.6000000000000001E-4</v>
      </c>
      <c r="Y30" s="9">
        <f>VLOOKUP(A30,'Yahoo WPW'!A27:I27,9,FALSE)</f>
        <v>4.0000000000000002E-4</v>
      </c>
      <c r="Z30" s="9">
        <f>X30-Y30</f>
        <v>5.9999999999999995E-5</v>
      </c>
      <c r="AA30" s="15">
        <f>Z30*X30</f>
        <v>2.7599999999999999E-8</v>
      </c>
      <c r="AB30" s="16"/>
    </row>
    <row r="31" spans="1:28" ht="15.75" customHeight="1" x14ac:dyDescent="0.15">
      <c r="A31" s="5" t="s">
        <v>72</v>
      </c>
      <c r="B31" s="5">
        <v>13</v>
      </c>
      <c r="C31" s="5" t="s">
        <v>18</v>
      </c>
      <c r="D31" s="8">
        <f>VLOOKUP(A31,Odds!A14:I14,4,FALSE)</f>
        <v>0.14208000000000001</v>
      </c>
      <c r="E31" s="9">
        <f>VLOOKUP(A31,'Yahoo WPW'!A14:I14,4,FALSE)</f>
        <v>0.1202</v>
      </c>
      <c r="F31" s="9">
        <f>D31-E31</f>
        <v>2.1880000000000011E-2</v>
      </c>
      <c r="G31" s="15">
        <f>F31*D31</f>
        <v>3.1087104000000016E-3</v>
      </c>
      <c r="H31" s="9">
        <f>VLOOKUP(A31,Odds!A14:I14,5,FALSE)</f>
        <v>3.6490000000000002E-2</v>
      </c>
      <c r="I31" s="9">
        <f>VLOOKUP(A31,'Yahoo WPW'!A14:I14,5,FALSE)</f>
        <v>4.2299999999999997E-2</v>
      </c>
      <c r="J31" s="9">
        <f>H31-I31</f>
        <v>-5.8099999999999957E-3</v>
      </c>
      <c r="K31" s="15">
        <f>J31*H31</f>
        <v>-2.1200689999999986E-4</v>
      </c>
      <c r="L31" s="9">
        <f>VLOOKUP(A31,Odds!A14:I14,6,FALSE)</f>
        <v>4.0299999999999997E-3</v>
      </c>
      <c r="M31" s="9">
        <f>VLOOKUP(A31,'Yahoo WPW'!A14:I14,6,FALSE)</f>
        <v>6.1999999999999998E-3</v>
      </c>
      <c r="N31" s="9">
        <f>L31-M31</f>
        <v>-2.1700000000000001E-3</v>
      </c>
      <c r="O31" s="15">
        <f>N31*L31</f>
        <v>-8.7451000000000003E-6</v>
      </c>
      <c r="P31" s="9">
        <f>VLOOKUP(A31,Odds!A14:I14,7,FALSE)</f>
        <v>5.1000000000000004E-4</v>
      </c>
      <c r="Q31" s="9">
        <f>VLOOKUP(A31,'Yahoo WPW'!A14:I14,7,FALSE)</f>
        <v>2.3999999999999998E-3</v>
      </c>
      <c r="R31" s="9">
        <f>P31-Q31</f>
        <v>-1.8899999999999998E-3</v>
      </c>
      <c r="S31" s="15">
        <f>R31*P31</f>
        <v>-9.639E-7</v>
      </c>
      <c r="T31" s="9">
        <f>VLOOKUP(A31,Odds!A14:I14,8,FALSE)</f>
        <v>4.0000000000000003E-5</v>
      </c>
      <c r="U31" s="9">
        <f>VLOOKUP(A31,'Yahoo WPW'!A14:I14,8,FALSE)</f>
        <v>1.1000000000000001E-3</v>
      </c>
      <c r="V31" s="9">
        <f>T31-U31</f>
        <v>-1.06E-3</v>
      </c>
      <c r="W31" s="15">
        <f>V31*T31</f>
        <v>-4.2400000000000002E-8</v>
      </c>
      <c r="X31" s="9">
        <f>VLOOKUP(A31,Odds!A14:I14,9,FALSE)</f>
        <v>0</v>
      </c>
      <c r="Y31" s="9">
        <f>VLOOKUP(A31,'Yahoo WPW'!A14:I14,9,FALSE)</f>
        <v>5.9999999999999995E-4</v>
      </c>
      <c r="Z31" s="9">
        <f>X31-Y31</f>
        <v>-5.9999999999999995E-4</v>
      </c>
      <c r="AA31" s="15">
        <f>Z31*X31</f>
        <v>0</v>
      </c>
      <c r="AB31" s="16"/>
    </row>
    <row r="32" spans="1:28" ht="15.75" customHeight="1" x14ac:dyDescent="0.15">
      <c r="A32" s="5" t="s">
        <v>70</v>
      </c>
      <c r="B32" s="5">
        <v>14</v>
      </c>
      <c r="C32" s="5" t="s">
        <v>18</v>
      </c>
      <c r="D32" s="8">
        <f>VLOOKUP(A32,Odds!A15:I15,4,FALSE)</f>
        <v>0.11512</v>
      </c>
      <c r="E32" s="9">
        <f>VLOOKUP(A32,'Yahoo WPW'!A15:I15,4,FALSE)</f>
        <v>5.57E-2</v>
      </c>
      <c r="F32" s="9">
        <f>D32-E32</f>
        <v>5.9420000000000001E-2</v>
      </c>
      <c r="G32" s="15">
        <f>F32*D32</f>
        <v>6.8404303999999999E-3</v>
      </c>
      <c r="H32" s="9">
        <f>VLOOKUP(A32,Odds!A15:I15,5,FALSE)</f>
        <v>1.5939999999999999E-2</v>
      </c>
      <c r="I32" s="9">
        <f>VLOOKUP(A32,'Yahoo WPW'!A15:I15,5,FALSE)</f>
        <v>1.77E-2</v>
      </c>
      <c r="J32" s="9">
        <f>H32-I32</f>
        <v>-1.7600000000000011E-3</v>
      </c>
      <c r="K32" s="15">
        <f>J32*H32</f>
        <v>-2.8054400000000017E-5</v>
      </c>
      <c r="L32" s="9">
        <f>VLOOKUP(A32,Odds!A15:I15,6,FALSE)</f>
        <v>1.6800000000000001E-3</v>
      </c>
      <c r="M32" s="9">
        <f>VLOOKUP(A32,'Yahoo WPW'!A15:I15,6,FALSE)</f>
        <v>5.4000000000000003E-3</v>
      </c>
      <c r="N32" s="9">
        <f>L32-M32</f>
        <v>-3.7200000000000002E-3</v>
      </c>
      <c r="O32" s="15">
        <f>N32*L32</f>
        <v>-6.2496000000000003E-6</v>
      </c>
      <c r="P32" s="9">
        <f>VLOOKUP(A32,Odds!A15:I15,7,FALSE)</f>
        <v>1.2999999999999999E-4</v>
      </c>
      <c r="Q32" s="9">
        <f>VLOOKUP(A32,'Yahoo WPW'!A15:I15,7,FALSE)</f>
        <v>2.3E-3</v>
      </c>
      <c r="R32" s="9">
        <f>P32-Q32</f>
        <v>-2.1700000000000001E-3</v>
      </c>
      <c r="S32" s="15">
        <f>R32*P32</f>
        <v>-2.8209999999999997E-7</v>
      </c>
      <c r="T32" s="9">
        <f>VLOOKUP(A32,Odds!A15:I15,8,FALSE)</f>
        <v>1.0000000000000001E-5</v>
      </c>
      <c r="U32" s="9">
        <f>VLOOKUP(A32,'Yahoo WPW'!A15:I15,8,FALSE)</f>
        <v>1E-3</v>
      </c>
      <c r="V32" s="9">
        <f>T32-U32</f>
        <v>-9.8999999999999999E-4</v>
      </c>
      <c r="W32" s="15">
        <f>V32*T32</f>
        <v>-9.900000000000001E-9</v>
      </c>
      <c r="X32" s="9">
        <f>VLOOKUP(A32,Odds!A15:I15,9,FALSE)</f>
        <v>0</v>
      </c>
      <c r="Y32" s="9">
        <f>VLOOKUP(A32,'Yahoo WPW'!A15:I15,9,FALSE)</f>
        <v>5.0000000000000001E-4</v>
      </c>
      <c r="Z32" s="9">
        <f>X32-Y32</f>
        <v>-5.0000000000000001E-4</v>
      </c>
      <c r="AA32" s="15">
        <f>Z32*X32</f>
        <v>0</v>
      </c>
      <c r="AB32" s="16"/>
    </row>
    <row r="33" spans="1:28" ht="15.75" customHeight="1" x14ac:dyDescent="0.15">
      <c r="A33" s="5" t="s">
        <v>71</v>
      </c>
      <c r="B33" s="5">
        <v>15</v>
      </c>
      <c r="C33" s="5" t="s">
        <v>18</v>
      </c>
      <c r="D33" s="8">
        <f>VLOOKUP(A33,Odds!A16:I16,4,FALSE)</f>
        <v>9.6909999999999996E-2</v>
      </c>
      <c r="E33" s="9">
        <f>VLOOKUP(A33,'Yahoo WPW'!A16:I16,4,FALSE)</f>
        <v>3.2300000000000002E-2</v>
      </c>
      <c r="F33" s="9">
        <f>D33-E33</f>
        <v>6.4610000000000001E-2</v>
      </c>
      <c r="G33" s="15">
        <f>F33*D33</f>
        <v>6.2613551000000002E-3</v>
      </c>
      <c r="H33" s="9">
        <f>VLOOKUP(A33,Odds!A16:I16,5,FALSE)</f>
        <v>1.934E-2</v>
      </c>
      <c r="I33" s="9">
        <f>VLOOKUP(A33,'Yahoo WPW'!A16:I16,5,FALSE)</f>
        <v>1.23E-2</v>
      </c>
      <c r="J33" s="9">
        <f>H33-I33</f>
        <v>7.0399999999999994E-3</v>
      </c>
      <c r="K33" s="15">
        <f>J33*H33</f>
        <v>1.3615359999999998E-4</v>
      </c>
      <c r="L33" s="9">
        <f>VLOOKUP(A33,Odds!A16:I16,6,FALSE)</f>
        <v>2.9399999999999999E-3</v>
      </c>
      <c r="M33" s="9">
        <f>VLOOKUP(A33,'Yahoo WPW'!A16:I16,6,FALSE)</f>
        <v>5.4000000000000003E-3</v>
      </c>
      <c r="N33" s="9">
        <f>L33-M33</f>
        <v>-2.4600000000000004E-3</v>
      </c>
      <c r="O33" s="15">
        <f>N33*L33</f>
        <v>-7.2324000000000013E-6</v>
      </c>
      <c r="P33" s="9">
        <f>VLOOKUP(A33,Odds!A16:I16,7,FALSE)</f>
        <v>2.5999999999999998E-4</v>
      </c>
      <c r="Q33" s="9">
        <f>VLOOKUP(A33,'Yahoo WPW'!A16:I16,7,FALSE)</f>
        <v>2.2000000000000001E-3</v>
      </c>
      <c r="R33" s="9">
        <f>P33-Q33</f>
        <v>-1.9400000000000001E-3</v>
      </c>
      <c r="S33" s="15">
        <f>R33*P33</f>
        <v>-5.0439999999999999E-7</v>
      </c>
      <c r="T33" s="9">
        <f>VLOOKUP(A33,Odds!A16:I16,8,FALSE)</f>
        <v>3.0000000000000001E-5</v>
      </c>
      <c r="U33" s="9">
        <f>VLOOKUP(A33,'Yahoo WPW'!A16:I16,8,FALSE)</f>
        <v>8.9999999999999998E-4</v>
      </c>
      <c r="V33" s="9">
        <f>T33-U33</f>
        <v>-8.7000000000000001E-4</v>
      </c>
      <c r="W33" s="15">
        <f>V33*T33</f>
        <v>-2.6100000000000002E-8</v>
      </c>
      <c r="X33" s="9">
        <f>VLOOKUP(A33,Odds!A16:I16,9,FALSE)</f>
        <v>0</v>
      </c>
      <c r="Y33" s="9">
        <f>VLOOKUP(A33,'Yahoo WPW'!A16:I16,9,FALSE)</f>
        <v>4.0000000000000002E-4</v>
      </c>
      <c r="Z33" s="9">
        <f>X33-Y33</f>
        <v>-4.0000000000000002E-4</v>
      </c>
      <c r="AA33" s="15">
        <f>Z33*X33</f>
        <v>0</v>
      </c>
      <c r="AB33" s="16"/>
    </row>
    <row r="34" spans="1:28" ht="15.75" customHeight="1" x14ac:dyDescent="0.15">
      <c r="A34" s="5" t="s">
        <v>73</v>
      </c>
      <c r="B34" s="5">
        <v>16</v>
      </c>
      <c r="C34" s="5" t="s">
        <v>18</v>
      </c>
      <c r="D34" s="8">
        <f>VLOOKUP(A34,Odds!A17:I17,4,FALSE)</f>
        <v>2.879E-2</v>
      </c>
      <c r="E34" s="9">
        <f>VLOOKUP(A34,'Yahoo WPW'!A17:I17,4,FALSE)</f>
        <v>1.6299999999999999E-2</v>
      </c>
      <c r="F34" s="9">
        <f>D34-E34</f>
        <v>1.2490000000000001E-2</v>
      </c>
      <c r="G34" s="15">
        <f>F34*D34</f>
        <v>3.595871E-4</v>
      </c>
      <c r="H34" s="9">
        <f>VLOOKUP(A34,Odds!A17:I17,5,FALSE)</f>
        <v>3.63E-3</v>
      </c>
      <c r="I34" s="9">
        <f>VLOOKUP(A34,'Yahoo WPW'!A17:I17,5,FALSE)</f>
        <v>7.4999999999999997E-3</v>
      </c>
      <c r="J34" s="9">
        <f>H34-I34</f>
        <v>-3.8699999999999997E-3</v>
      </c>
      <c r="K34" s="15">
        <f>J34*H34</f>
        <v>-1.4048099999999999E-5</v>
      </c>
      <c r="L34" s="9">
        <f>VLOOKUP(A34,Odds!A17:I17,6,FALSE)</f>
        <v>3.6000000000000002E-4</v>
      </c>
      <c r="M34" s="9">
        <f>VLOOKUP(A34,'Yahoo WPW'!A17:I17,6,FALSE)</f>
        <v>3.8E-3</v>
      </c>
      <c r="N34" s="9">
        <f>L34-M34</f>
        <v>-3.4399999999999999E-3</v>
      </c>
      <c r="O34" s="15">
        <f>N34*L34</f>
        <v>-1.2384000000000001E-6</v>
      </c>
      <c r="P34" s="9">
        <f>VLOOKUP(A34,Odds!A17:I17,7,FALSE)</f>
        <v>0</v>
      </c>
      <c r="Q34" s="9">
        <f>VLOOKUP(A34,'Yahoo WPW'!A17:I17,7,FALSE)</f>
        <v>2.2000000000000001E-3</v>
      </c>
      <c r="R34" s="9">
        <f>P34-Q34</f>
        <v>-2.2000000000000001E-3</v>
      </c>
      <c r="S34" s="15">
        <f>R34*P34</f>
        <v>0</v>
      </c>
      <c r="T34" s="9">
        <f>VLOOKUP(A34,Odds!A17:I17,8,FALSE)</f>
        <v>0</v>
      </c>
      <c r="U34" s="9">
        <f>VLOOKUP(A34,'Yahoo WPW'!A17:I17,8,FALSE)</f>
        <v>1E-3</v>
      </c>
      <c r="V34" s="9">
        <f>T34-U34</f>
        <v>-1E-3</v>
      </c>
      <c r="W34" s="15">
        <f>V34*T34</f>
        <v>0</v>
      </c>
      <c r="X34" s="9">
        <f>VLOOKUP(A34,Odds!A17:I17,9,FALSE)</f>
        <v>0</v>
      </c>
      <c r="Y34" s="9">
        <f>VLOOKUP(A34,'Yahoo WPW'!A17:I17,9,FALSE)</f>
        <v>4.0000000000000002E-4</v>
      </c>
      <c r="Z34" s="9">
        <f>X34-Y34</f>
        <v>-4.0000000000000002E-4</v>
      </c>
      <c r="AA34" s="15">
        <f>Z34*X34</f>
        <v>0</v>
      </c>
      <c r="AB34" s="16"/>
    </row>
    <row r="35" spans="1:28" ht="15.75" customHeight="1" x14ac:dyDescent="0.15">
      <c r="A35" s="5" t="s">
        <v>74</v>
      </c>
      <c r="B35" s="5">
        <v>15</v>
      </c>
      <c r="C35" s="5" t="s">
        <v>14</v>
      </c>
      <c r="D35" s="8">
        <f>VLOOKUP(A35,Odds!A32:I32,4,FALSE)</f>
        <v>8.7809999999999999E-2</v>
      </c>
      <c r="E35" s="9">
        <f>VLOOKUP(A35,'Yahoo WPW'!A32:I32,4,FALSE)</f>
        <v>3.3599999999999998E-2</v>
      </c>
      <c r="F35" s="9">
        <f>D35-E35</f>
        <v>5.4210000000000001E-2</v>
      </c>
      <c r="G35" s="15">
        <f>F35*D35</f>
        <v>4.7601800999999997E-3</v>
      </c>
      <c r="H35" s="9">
        <f>VLOOKUP(A35,Odds!A32:I32,5,FALSE)</f>
        <v>2.0920000000000001E-2</v>
      </c>
      <c r="I35" s="9">
        <f>VLOOKUP(A35,'Yahoo WPW'!A32:I32,5,FALSE)</f>
        <v>1.2800000000000001E-2</v>
      </c>
      <c r="J35" s="9">
        <f>H35-I35</f>
        <v>8.1200000000000005E-3</v>
      </c>
      <c r="K35" s="15">
        <f>J35*H35</f>
        <v>1.6987040000000003E-4</v>
      </c>
      <c r="L35" s="9">
        <f>VLOOKUP(A35,Odds!A32:I32,6,FALSE)</f>
        <v>4.0400000000000002E-3</v>
      </c>
      <c r="M35" s="9">
        <f>VLOOKUP(A35,'Yahoo WPW'!A32:I32,6,FALSE)</f>
        <v>6.4000000000000003E-3</v>
      </c>
      <c r="N35" s="9">
        <f>L35-M35</f>
        <v>-2.3600000000000001E-3</v>
      </c>
      <c r="O35" s="15">
        <f>N35*L35</f>
        <v>-9.5344000000000014E-6</v>
      </c>
      <c r="P35" s="9">
        <f>VLOOKUP(A35,Odds!A32:I32,7,FALSE)</f>
        <v>2.9999999999999997E-4</v>
      </c>
      <c r="Q35" s="9">
        <f>VLOOKUP(A35,'Yahoo WPW'!A32:I32,7,FALSE)</f>
        <v>2.3999999999999998E-3</v>
      </c>
      <c r="R35" s="9">
        <f>P35-Q35</f>
        <v>-2.0999999999999999E-3</v>
      </c>
      <c r="S35" s="15">
        <f>R35*P35</f>
        <v>-6.299999999999999E-7</v>
      </c>
      <c r="T35" s="9">
        <f>VLOOKUP(A35,Odds!A32:I32,8,FALSE)</f>
        <v>6.0000000000000002E-5</v>
      </c>
      <c r="U35" s="9">
        <f>VLOOKUP(A35,'Yahoo WPW'!A32:I32,8,FALSE)</f>
        <v>1.1999999999999999E-3</v>
      </c>
      <c r="V35" s="9">
        <f>T35-U35</f>
        <v>-1.14E-3</v>
      </c>
      <c r="W35" s="15">
        <f>V35*T35</f>
        <v>-6.8400000000000004E-8</v>
      </c>
      <c r="X35" s="9">
        <f>VLOOKUP(A35,Odds!A32:I32,9,FALSE)</f>
        <v>0</v>
      </c>
      <c r="Y35" s="9">
        <f>VLOOKUP(A35,'Yahoo WPW'!A32:I32,9,FALSE)</f>
        <v>5.0000000000000001E-4</v>
      </c>
      <c r="Z35" s="9">
        <f>X35-Y35</f>
        <v>-5.0000000000000001E-4</v>
      </c>
      <c r="AA35" s="15">
        <f>Z35*X35</f>
        <v>0</v>
      </c>
      <c r="AB35" s="16"/>
    </row>
    <row r="36" spans="1:28" ht="15.75" customHeight="1" x14ac:dyDescent="0.15">
      <c r="A36" s="5" t="s">
        <v>75</v>
      </c>
      <c r="B36" s="5">
        <v>16</v>
      </c>
      <c r="C36" s="5" t="s">
        <v>14</v>
      </c>
      <c r="D36" s="8">
        <f>VLOOKUP(A36,Odds!A33:I33,4,FALSE)</f>
        <v>2.01E-2</v>
      </c>
      <c r="E36" s="9">
        <f>VLOOKUP(A36,'Yahoo WPW'!A33:I33,4,FALSE)</f>
        <v>2.1399999999999999E-2</v>
      </c>
      <c r="F36" s="9">
        <f>D36-E36</f>
        <v>-1.2999999999999991E-3</v>
      </c>
      <c r="G36" s="15">
        <f>F36*D36</f>
        <v>-2.6129999999999982E-5</v>
      </c>
      <c r="H36" s="9">
        <f>VLOOKUP(A36,Odds!A33:I33,5,FALSE)</f>
        <v>1.2999999999999999E-3</v>
      </c>
      <c r="I36" s="9">
        <f>VLOOKUP(A36,'Yahoo WPW'!A33:I33,5,FALSE)</f>
        <v>8.3999999999999995E-3</v>
      </c>
      <c r="J36" s="9">
        <f>H36-I36</f>
        <v>-7.0999999999999995E-3</v>
      </c>
      <c r="K36" s="15">
        <f>J36*H36</f>
        <v>-9.2299999999999997E-6</v>
      </c>
      <c r="L36" s="9">
        <f>VLOOKUP(A36,Odds!A33:I33,6,FALSE)</f>
        <v>1.2E-4</v>
      </c>
      <c r="M36" s="9">
        <f>VLOOKUP(A36,'Yahoo WPW'!A33:I33,6,FALSE)</f>
        <v>4.1999999999999997E-3</v>
      </c>
      <c r="N36" s="9">
        <f>L36-M36</f>
        <v>-4.0799999999999994E-3</v>
      </c>
      <c r="O36" s="15">
        <f>N36*L36</f>
        <v>-4.8959999999999994E-7</v>
      </c>
      <c r="P36" s="9">
        <f>VLOOKUP(A36,Odds!A33:I33,7,FALSE)</f>
        <v>3.0000000000000001E-5</v>
      </c>
      <c r="Q36" s="9">
        <f>VLOOKUP(A36,'Yahoo WPW'!A33:I33,7,FALSE)</f>
        <v>2.3999999999999998E-3</v>
      </c>
      <c r="R36" s="9">
        <f>P36-Q36</f>
        <v>-2.3699999999999997E-3</v>
      </c>
      <c r="S36" s="15">
        <f>R36*P36</f>
        <v>-7.1099999999999995E-8</v>
      </c>
      <c r="T36" s="9">
        <f>VLOOKUP(A36,Odds!A33:I33,8,FALSE)</f>
        <v>0</v>
      </c>
      <c r="U36" s="9">
        <f>VLOOKUP(A36,'Yahoo WPW'!A33:I33,8,FALSE)</f>
        <v>1.1000000000000001E-3</v>
      </c>
      <c r="V36" s="9">
        <f>T36-U36</f>
        <v>-1.1000000000000001E-3</v>
      </c>
      <c r="W36" s="15">
        <f>V36*T36</f>
        <v>0</v>
      </c>
      <c r="X36" s="9">
        <f>VLOOKUP(A36,Odds!A33:I33,9,FALSE)</f>
        <v>0</v>
      </c>
      <c r="Y36" s="9">
        <f>VLOOKUP(A36,'Yahoo WPW'!A33:I33,9,FALSE)</f>
        <v>5.0000000000000001E-4</v>
      </c>
      <c r="Z36" s="9">
        <f>X36-Y36</f>
        <v>-5.0000000000000001E-4</v>
      </c>
      <c r="AA36" s="15">
        <f>Z36*X36</f>
        <v>0</v>
      </c>
      <c r="AB36" s="16"/>
    </row>
    <row r="37" spans="1:28" ht="15.75" customHeight="1" x14ac:dyDescent="0.15">
      <c r="A37" s="5" t="s">
        <v>76</v>
      </c>
      <c r="B37" s="5">
        <v>15</v>
      </c>
      <c r="C37" s="5" t="s">
        <v>20</v>
      </c>
      <c r="D37" s="8">
        <f>VLOOKUP(A37,Odds!A48:I48,4,FALSE)</f>
        <v>8.097E-2</v>
      </c>
      <c r="E37" s="9">
        <f>VLOOKUP(A37,'Yahoo WPW'!A48:I48,4,FALSE)</f>
        <v>3.2500000000000001E-2</v>
      </c>
      <c r="F37" s="9">
        <f>D37-E37</f>
        <v>4.8469999999999999E-2</v>
      </c>
      <c r="G37" s="15">
        <f>F37*D37</f>
        <v>3.9246159000000001E-3</v>
      </c>
      <c r="H37" s="9">
        <f>VLOOKUP(A37,Odds!A48:I48,5,FALSE)</f>
        <v>1.465E-2</v>
      </c>
      <c r="I37" s="9">
        <f>VLOOKUP(A37,'Yahoo WPW'!A48:I48,5,FALSE)</f>
        <v>1.3299999999999999E-2</v>
      </c>
      <c r="J37" s="9">
        <f>H37-I37</f>
        <v>1.3500000000000005E-3</v>
      </c>
      <c r="K37" s="15">
        <f>J37*H37</f>
        <v>1.9777500000000008E-5</v>
      </c>
      <c r="L37" s="9">
        <f>VLOOKUP(A37,Odds!A48:I48,6,FALSE)</f>
        <v>2.3500000000000001E-3</v>
      </c>
      <c r="M37" s="9">
        <f>VLOOKUP(A37,'Yahoo WPW'!A48:I48,6,FALSE)</f>
        <v>6.4000000000000003E-3</v>
      </c>
      <c r="N37" s="9">
        <f>L37-M37</f>
        <v>-4.0499999999999998E-3</v>
      </c>
      <c r="O37" s="15">
        <f>N37*L37</f>
        <v>-9.5174999999999999E-6</v>
      </c>
      <c r="P37" s="9">
        <f>VLOOKUP(A37,Odds!A48:I48,7,FALSE)</f>
        <v>3.5E-4</v>
      </c>
      <c r="Q37" s="9">
        <f>VLOOKUP(A37,'Yahoo WPW'!A48:I48,7,FALSE)</f>
        <v>2.5000000000000001E-3</v>
      </c>
      <c r="R37" s="9">
        <f>P37-Q37</f>
        <v>-2.15E-3</v>
      </c>
      <c r="S37" s="15">
        <f>R37*P37</f>
        <v>-7.525E-7</v>
      </c>
      <c r="T37" s="9">
        <f>VLOOKUP(A37,Odds!A48:I48,8,FALSE)</f>
        <v>2.0000000000000002E-5</v>
      </c>
      <c r="U37" s="9">
        <f>VLOOKUP(A37,'Yahoo WPW'!A48:I48,8,FALSE)</f>
        <v>8.9999999999999998E-4</v>
      </c>
      <c r="V37" s="9">
        <f>T37-U37</f>
        <v>-8.7999999999999992E-4</v>
      </c>
      <c r="W37" s="15">
        <f>V37*T37</f>
        <v>-1.7599999999999999E-8</v>
      </c>
      <c r="X37" s="9">
        <f>VLOOKUP(A37,Odds!A48:I48,9,FALSE)</f>
        <v>0</v>
      </c>
      <c r="Y37" s="9">
        <f>VLOOKUP(A37,'Yahoo WPW'!A48:I48,9,FALSE)</f>
        <v>4.0000000000000002E-4</v>
      </c>
      <c r="Z37" s="9">
        <f>X37-Y37</f>
        <v>-4.0000000000000002E-4</v>
      </c>
      <c r="AA37" s="15">
        <f>Z37*X37</f>
        <v>0</v>
      </c>
      <c r="AB37" s="16"/>
    </row>
    <row r="38" spans="1:28" ht="15.75" customHeight="1" x14ac:dyDescent="0.15">
      <c r="A38" s="5" t="s">
        <v>77</v>
      </c>
      <c r="B38" s="5">
        <v>16</v>
      </c>
      <c r="C38" s="5" t="s">
        <v>20</v>
      </c>
      <c r="D38" s="8">
        <f>VLOOKUP(A38,Odds!A49:I49,4,FALSE)</f>
        <v>1.6129999999999999E-2</v>
      </c>
      <c r="E38" s="9">
        <f>VLOOKUP(A38,'Yahoo WPW'!A49:I49,4,FALSE)</f>
        <v>1.6199999999999999E-2</v>
      </c>
      <c r="F38" s="9">
        <f>D38-E38</f>
        <v>-7.0000000000000617E-5</v>
      </c>
      <c r="G38" s="15">
        <f>F38*D38</f>
        <v>-1.1291000000000099E-6</v>
      </c>
      <c r="H38" s="9">
        <f>VLOOKUP(A38,Odds!A49:I49,5,FALSE)</f>
        <v>6.4999999999999997E-4</v>
      </c>
      <c r="I38" s="9">
        <f>VLOOKUP(A38,'Yahoo WPW'!A49:I49,5,FALSE)</f>
        <v>7.0000000000000001E-3</v>
      </c>
      <c r="J38" s="9">
        <f>H38-I38</f>
        <v>-6.3499999999999997E-3</v>
      </c>
      <c r="K38" s="15">
        <f>J38*H38</f>
        <v>-4.1274999999999999E-6</v>
      </c>
      <c r="L38" s="9">
        <f>VLOOKUP(A38,Odds!A49:I49,6,FALSE)</f>
        <v>6.0000000000000002E-5</v>
      </c>
      <c r="M38" s="9">
        <f>VLOOKUP(A38,'Yahoo WPW'!A49:I49,6,FALSE)</f>
        <v>3.8E-3</v>
      </c>
      <c r="N38" s="9">
        <f>L38-M38</f>
        <v>-3.7399999999999998E-3</v>
      </c>
      <c r="O38" s="15">
        <f>N38*L38</f>
        <v>-2.244E-7</v>
      </c>
      <c r="P38" s="9">
        <f>VLOOKUP(A38,Odds!A49:I49,7,FALSE)</f>
        <v>0</v>
      </c>
      <c r="Q38" s="9">
        <f>VLOOKUP(A38,'Yahoo WPW'!A49:I49,7,FALSE)</f>
        <v>2.0999999999999999E-3</v>
      </c>
      <c r="R38" s="9">
        <f>P38-Q38</f>
        <v>-2.0999999999999999E-3</v>
      </c>
      <c r="S38" s="15">
        <f>R38*P38</f>
        <v>0</v>
      </c>
      <c r="T38" s="9">
        <f>VLOOKUP(A38,Odds!A49:I49,8,FALSE)</f>
        <v>0</v>
      </c>
      <c r="U38" s="9">
        <f>VLOOKUP(A38,'Yahoo WPW'!A49:I49,8,FALSE)</f>
        <v>1E-3</v>
      </c>
      <c r="V38" s="9">
        <f>T38-U38</f>
        <v>-1E-3</v>
      </c>
      <c r="W38" s="15">
        <f>V38*T38</f>
        <v>0</v>
      </c>
      <c r="X38" s="9">
        <f>VLOOKUP(A38,Odds!A49:I49,9,FALSE)</f>
        <v>0</v>
      </c>
      <c r="Y38" s="9">
        <f>VLOOKUP(A38,'Yahoo WPW'!A49:I49,9,FALSE)</f>
        <v>5.0000000000000001E-4</v>
      </c>
      <c r="Z38" s="9">
        <f>X38-Y38</f>
        <v>-5.0000000000000001E-4</v>
      </c>
      <c r="AA38" s="15">
        <f>Z38*X38</f>
        <v>0</v>
      </c>
      <c r="AB38" s="16"/>
    </row>
    <row r="39" spans="1:28" ht="15.75" customHeight="1" x14ac:dyDescent="0.15">
      <c r="A39" s="5" t="s">
        <v>78</v>
      </c>
      <c r="B39" s="5">
        <v>14</v>
      </c>
      <c r="C39" s="5" t="s">
        <v>16</v>
      </c>
      <c r="D39" s="8">
        <f>VLOOKUP(A39,Odds!A63:I63,4,FALSE)</f>
        <v>0.13794999999999999</v>
      </c>
      <c r="E39" s="9">
        <f>VLOOKUP(A39,'Yahoo WPW'!A63:I63,4,FALSE)</f>
        <v>5.9900000000000002E-2</v>
      </c>
      <c r="F39" s="9">
        <f>D39-E39</f>
        <v>7.8049999999999981E-2</v>
      </c>
      <c r="G39" s="15">
        <f>F39*D39</f>
        <v>1.0766997499999997E-2</v>
      </c>
      <c r="H39" s="9">
        <f>VLOOKUP(A39,Odds!A63:I63,5,FALSE)</f>
        <v>3.2980000000000002E-2</v>
      </c>
      <c r="I39" s="9">
        <f>VLOOKUP(A39,'Yahoo WPW'!A63:I63,5,FALSE)</f>
        <v>1.8100000000000002E-2</v>
      </c>
      <c r="J39" s="9">
        <f>H39-I39</f>
        <v>1.4880000000000001E-2</v>
      </c>
      <c r="K39" s="15">
        <f>J39*H39</f>
        <v>4.9074240000000009E-4</v>
      </c>
      <c r="L39" s="9">
        <f>VLOOKUP(A39,Odds!A63:I63,6,FALSE)</f>
        <v>4.8500000000000001E-3</v>
      </c>
      <c r="M39" s="9">
        <f>VLOOKUP(A39,'Yahoo WPW'!A63:I63,6,FALSE)</f>
        <v>4.8999999999999998E-3</v>
      </c>
      <c r="N39" s="9">
        <f>L39-M39</f>
        <v>-4.9999999999999697E-5</v>
      </c>
      <c r="O39" s="15">
        <f>N39*L39</f>
        <v>-2.4249999999999853E-7</v>
      </c>
      <c r="P39" s="9">
        <f>VLOOKUP(A39,Odds!A63:I63,7,FALSE)</f>
        <v>4.4000000000000002E-4</v>
      </c>
      <c r="Q39" s="9">
        <f>VLOOKUP(A39,'Yahoo WPW'!A63:I63,7,FALSE)</f>
        <v>2E-3</v>
      </c>
      <c r="R39" s="9">
        <f>P39-Q39</f>
        <v>-1.56E-3</v>
      </c>
      <c r="S39" s="15">
        <f>R39*P39</f>
        <v>-6.8640000000000001E-7</v>
      </c>
      <c r="T39" s="9">
        <f>VLOOKUP(A39,Odds!A63:I63,8,FALSE)</f>
        <v>5.0000000000000002E-5</v>
      </c>
      <c r="U39" s="9">
        <f>VLOOKUP(A39,'Yahoo WPW'!A63:I63,8,FALSE)</f>
        <v>8.9999999999999998E-4</v>
      </c>
      <c r="V39" s="9">
        <f>T39-U39</f>
        <v>-8.4999999999999995E-4</v>
      </c>
      <c r="W39" s="15">
        <f>V39*T39</f>
        <v>-4.2499999999999997E-8</v>
      </c>
      <c r="X39" s="9">
        <f>VLOOKUP(A39,Odds!A63:I63,9,FALSE)</f>
        <v>0</v>
      </c>
      <c r="Y39" s="9">
        <f>VLOOKUP(A39,'Yahoo WPW'!A63:I63,9,FALSE)</f>
        <v>4.0000000000000002E-4</v>
      </c>
      <c r="Z39" s="9">
        <f>X39-Y39</f>
        <v>-4.0000000000000002E-4</v>
      </c>
      <c r="AA39" s="15">
        <f>Z39*X39</f>
        <v>0</v>
      </c>
      <c r="AB39" s="16"/>
    </row>
    <row r="40" spans="1:28" ht="15.75" customHeight="1" x14ac:dyDescent="0.15">
      <c r="A40" s="5" t="s">
        <v>79</v>
      </c>
      <c r="B40" s="5">
        <v>15</v>
      </c>
      <c r="C40" s="5" t="s">
        <v>16</v>
      </c>
      <c r="D40" s="8">
        <f>VLOOKUP(A40,Odds!A64:I64,4,FALSE)</f>
        <v>5.985E-2</v>
      </c>
      <c r="E40" s="9">
        <f>VLOOKUP(A40,'Yahoo WPW'!A64:I64,4,FALSE)</f>
        <v>4.0300000000000002E-2</v>
      </c>
      <c r="F40" s="9">
        <f>D40-E40</f>
        <v>1.9549999999999998E-2</v>
      </c>
      <c r="G40" s="15">
        <f>F40*D40</f>
        <v>1.1700674999999998E-3</v>
      </c>
      <c r="H40" s="9">
        <f>VLOOKUP(A40,Odds!A64:I64,5,FALSE)</f>
        <v>1.257E-2</v>
      </c>
      <c r="I40" s="9">
        <f>VLOOKUP(A40,'Yahoo WPW'!A64:I64,5,FALSE)</f>
        <v>1.2699999999999999E-2</v>
      </c>
      <c r="J40" s="9">
        <f>H40-I40</f>
        <v>-1.2999999999999991E-4</v>
      </c>
      <c r="K40" s="15">
        <f>J40*H40</f>
        <v>-1.6340999999999987E-6</v>
      </c>
      <c r="L40" s="9">
        <f>VLOOKUP(A40,Odds!A64:I64,6,FALSE)</f>
        <v>1.6199999999999999E-3</v>
      </c>
      <c r="M40" s="9">
        <f>VLOOKUP(A40,'Yahoo WPW'!A64:I64,6,FALSE)</f>
        <v>5.8999999999999999E-3</v>
      </c>
      <c r="N40" s="9">
        <f>L40-M40</f>
        <v>-4.28E-3</v>
      </c>
      <c r="O40" s="15">
        <f>N40*L40</f>
        <v>-6.9335999999999991E-6</v>
      </c>
      <c r="P40" s="9">
        <f>VLOOKUP(A40,Odds!A64:I64,7,FALSE)</f>
        <v>8.0000000000000007E-5</v>
      </c>
      <c r="Q40" s="9">
        <f>VLOOKUP(A40,'Yahoo WPW'!A64:I64,7,FALSE)</f>
        <v>2.3999999999999998E-3</v>
      </c>
      <c r="R40" s="9">
        <f>P40-Q40</f>
        <v>-2.3199999999999996E-3</v>
      </c>
      <c r="S40" s="15">
        <f>R40*P40</f>
        <v>-1.8559999999999999E-7</v>
      </c>
      <c r="T40" s="9">
        <f>VLOOKUP(A40,Odds!A64:I64,8,FALSE)</f>
        <v>1.0000000000000001E-5</v>
      </c>
      <c r="U40" s="9">
        <f>VLOOKUP(A40,'Yahoo WPW'!A64:I64,8,FALSE)</f>
        <v>1.1000000000000001E-3</v>
      </c>
      <c r="V40" s="9">
        <f>T40-U40</f>
        <v>-1.09E-3</v>
      </c>
      <c r="W40" s="15">
        <f>V40*T40</f>
        <v>-1.0900000000000002E-8</v>
      </c>
      <c r="X40" s="9">
        <f>VLOOKUP(A40,Odds!A64:I64,9,FALSE)</f>
        <v>0</v>
      </c>
      <c r="Y40" s="9">
        <f>VLOOKUP(A40,'Yahoo WPW'!A64:I64,9,FALSE)</f>
        <v>5.0000000000000001E-4</v>
      </c>
      <c r="Z40" s="9">
        <f>X40-Y40</f>
        <v>-5.0000000000000001E-4</v>
      </c>
      <c r="AA40" s="15">
        <f>Z40*X40</f>
        <v>0</v>
      </c>
      <c r="AB40" s="16"/>
    </row>
    <row r="41" spans="1:28" ht="15.75" customHeight="1" x14ac:dyDescent="0.15">
      <c r="A41" s="5" t="s">
        <v>80</v>
      </c>
      <c r="B41" s="5">
        <v>16</v>
      </c>
      <c r="C41" s="5" t="s">
        <v>16</v>
      </c>
      <c r="D41" s="8">
        <f>VLOOKUP(A41,Odds!A65:I65,4,FALSE)</f>
        <v>2.7799999999999998E-2</v>
      </c>
      <c r="E41" s="9">
        <f>VLOOKUP(A41,'Yahoo WPW'!A65:I65,4,FALSE)</f>
        <v>1.9199999999999998E-2</v>
      </c>
      <c r="F41" s="9">
        <f>D41-E41</f>
        <v>8.6E-3</v>
      </c>
      <c r="G41" s="15">
        <f>F41*D41</f>
        <v>2.3907999999999999E-4</v>
      </c>
      <c r="H41" s="9">
        <f>VLOOKUP(A41,Odds!A65:I65,5,FALSE)</f>
        <v>2.8E-3</v>
      </c>
      <c r="I41" s="9">
        <f>VLOOKUP(A41,'Yahoo WPW'!A65:I65,5,FALSE)</f>
        <v>8.0999999999999996E-3</v>
      </c>
      <c r="J41" s="9">
        <f>H41-I41</f>
        <v>-5.2999999999999992E-3</v>
      </c>
      <c r="K41" s="15">
        <f>J41*H41</f>
        <v>-1.4839999999999997E-5</v>
      </c>
      <c r="L41" s="9">
        <f>VLOOKUP(A41,Odds!A65:I65,6,FALSE)</f>
        <v>2.5000000000000001E-4</v>
      </c>
      <c r="M41" s="9">
        <f>VLOOKUP(A41,'Yahoo WPW'!A65:I65,6,FALSE)</f>
        <v>4.0000000000000001E-3</v>
      </c>
      <c r="N41" s="9">
        <f>L41-M41</f>
        <v>-3.7499999999999999E-3</v>
      </c>
      <c r="O41" s="15">
        <f>N41*L41</f>
        <v>-9.3750000000000002E-7</v>
      </c>
      <c r="P41" s="9">
        <f>VLOOKUP(A41,Odds!A65:I65,7,FALSE)</f>
        <v>2.0000000000000002E-5</v>
      </c>
      <c r="Q41" s="9">
        <f>VLOOKUP(A41,'Yahoo WPW'!A65:I65,7,FALSE)</f>
        <v>2.2000000000000001E-3</v>
      </c>
      <c r="R41" s="9">
        <f>P41-Q41</f>
        <v>-2.1800000000000001E-3</v>
      </c>
      <c r="S41" s="15">
        <f>R41*P41</f>
        <v>-4.3600000000000007E-8</v>
      </c>
      <c r="T41" s="9">
        <f>VLOOKUP(A41,Odds!A65:I65,8,FALSE)</f>
        <v>0</v>
      </c>
      <c r="U41" s="9">
        <f>VLOOKUP(A41,'Yahoo WPW'!A65:I65,8,FALSE)</f>
        <v>1.1000000000000001E-3</v>
      </c>
      <c r="V41" s="9">
        <f>T41-U41</f>
        <v>-1.1000000000000001E-3</v>
      </c>
      <c r="W41" s="15">
        <f>V41*T41</f>
        <v>0</v>
      </c>
      <c r="X41" s="9">
        <f>VLOOKUP(A41,Odds!A65:I65,9,FALSE)</f>
        <v>0</v>
      </c>
      <c r="Y41" s="9">
        <f>VLOOKUP(A41,'Yahoo WPW'!A65:I65,9,FALSE)</f>
        <v>5.9999999999999995E-4</v>
      </c>
      <c r="Z41" s="9">
        <f>X41-Y41</f>
        <v>-5.9999999999999995E-4</v>
      </c>
      <c r="AA41" s="15">
        <f>Z41*X41</f>
        <v>0</v>
      </c>
      <c r="AB41" s="16"/>
    </row>
    <row r="42" spans="1:28" ht="15.75" customHeight="1" x14ac:dyDescent="0.15">
      <c r="A42" s="5" t="s">
        <v>68</v>
      </c>
      <c r="B42" s="5">
        <v>14</v>
      </c>
      <c r="C42" s="5" t="s">
        <v>20</v>
      </c>
      <c r="D42" s="8">
        <f>VLOOKUP(A42,Odds!A47:I47,4,FALSE)</f>
        <v>0.16431999999999999</v>
      </c>
      <c r="E42" s="9">
        <f>VLOOKUP(A42,'Yahoo WPW'!A47:I47,4,FALSE)</f>
        <v>5.7299999999999997E-2</v>
      </c>
      <c r="F42" s="9">
        <f>D42-E42</f>
        <v>0.10702</v>
      </c>
      <c r="G42" s="15">
        <f>F42*D42</f>
        <v>1.7585526399999999E-2</v>
      </c>
      <c r="H42" s="9">
        <f>VLOOKUP(A42,Odds!A47:I47,5,FALSE)</f>
        <v>3.5490000000000001E-2</v>
      </c>
      <c r="I42" s="9">
        <f>VLOOKUP(A42,'Yahoo WPW'!A47:I47,5,FALSE)</f>
        <v>1.8100000000000002E-2</v>
      </c>
      <c r="J42" s="9">
        <f>H42-I42</f>
        <v>1.7389999999999999E-2</v>
      </c>
      <c r="K42" s="15">
        <f>J42*H42</f>
        <v>6.1717109999999994E-4</v>
      </c>
      <c r="L42" s="9">
        <f>VLOOKUP(A42,Odds!A47:I47,6,FALSE)</f>
        <v>4.8900000000000002E-3</v>
      </c>
      <c r="M42" s="9">
        <f>VLOOKUP(A42,'Yahoo WPW'!A47:I47,6,FALSE)</f>
        <v>4.5999999999999999E-3</v>
      </c>
      <c r="N42" s="9">
        <f>L42-M42</f>
        <v>2.9000000000000033E-4</v>
      </c>
      <c r="O42" s="15">
        <f>N42*L42</f>
        <v>1.4181000000000017E-6</v>
      </c>
      <c r="P42" s="9">
        <f>VLOOKUP(A42,Odds!A47:I47,7,FALSE)</f>
        <v>7.6999999999999996E-4</v>
      </c>
      <c r="Q42" s="9">
        <f>VLOOKUP(A42,'Yahoo WPW'!A47:I47,7,FALSE)</f>
        <v>1.6999999999999999E-3</v>
      </c>
      <c r="R42" s="9">
        <f>P42-Q42</f>
        <v>-9.2999999999999995E-4</v>
      </c>
      <c r="S42" s="15">
        <f>R42*P42</f>
        <v>-7.1609999999999991E-7</v>
      </c>
      <c r="T42" s="9">
        <f>VLOOKUP(A42,Odds!A47:I47,8,FALSE)</f>
        <v>1.2E-4</v>
      </c>
      <c r="U42" s="9">
        <f>VLOOKUP(A42,'Yahoo WPW'!A47:I47,8,FALSE)</f>
        <v>6.9999999999999999E-4</v>
      </c>
      <c r="V42" s="9">
        <f>T42-U42</f>
        <v>-5.8E-4</v>
      </c>
      <c r="W42" s="15">
        <f>V42*T42</f>
        <v>-6.9600000000000001E-8</v>
      </c>
      <c r="X42" s="9">
        <f>VLOOKUP(A42,Odds!A47:I47,9,FALSE)</f>
        <v>1.0000000000000001E-5</v>
      </c>
      <c r="Y42" s="9">
        <f>VLOOKUP(A42,'Yahoo WPW'!A47:I47,9,FALSE)</f>
        <v>2.9999999999999997E-4</v>
      </c>
      <c r="Z42" s="9">
        <f>X42-Y42</f>
        <v>-2.8999999999999995E-4</v>
      </c>
      <c r="AA42" s="15">
        <f>Z42*X42</f>
        <v>-2.8999999999999999E-9</v>
      </c>
      <c r="AB42" s="16"/>
    </row>
    <row r="43" spans="1:28" ht="15.75" customHeight="1" x14ac:dyDescent="0.15">
      <c r="A43" s="5" t="s">
        <v>69</v>
      </c>
      <c r="B43" s="5">
        <v>14</v>
      </c>
      <c r="C43" s="5" t="s">
        <v>14</v>
      </c>
      <c r="D43" s="8">
        <f>VLOOKUP(A43,Odds!A31:I31,4,FALSE)</f>
        <v>0.24118000000000001</v>
      </c>
      <c r="E43" s="9">
        <f>VLOOKUP(A43,'Yahoo WPW'!A31:I31,4,FALSE)</f>
        <v>4.9700000000000001E-2</v>
      </c>
      <c r="F43" s="9">
        <f>D43-E43</f>
        <v>0.19148000000000001</v>
      </c>
      <c r="G43" s="15">
        <f>F43*D43</f>
        <v>4.6181146400000005E-2</v>
      </c>
      <c r="H43" s="9">
        <f>VLOOKUP(A43,Odds!A31:I31,5,FALSE)</f>
        <v>5.518E-2</v>
      </c>
      <c r="I43" s="9">
        <f>VLOOKUP(A43,'Yahoo WPW'!A31:I31,5,FALSE)</f>
        <v>1.66E-2</v>
      </c>
      <c r="J43" s="9">
        <f>H43-I43</f>
        <v>3.8580000000000003E-2</v>
      </c>
      <c r="K43" s="15">
        <f>J43*H43</f>
        <v>2.1288444000000001E-3</v>
      </c>
      <c r="L43" s="9">
        <f>VLOOKUP(A43,Odds!A31:I31,6,FALSE)</f>
        <v>8.8900000000000003E-3</v>
      </c>
      <c r="M43" s="9">
        <f>VLOOKUP(A43,'Yahoo WPW'!A31:I31,6,FALSE)</f>
        <v>4.7999999999999996E-3</v>
      </c>
      <c r="N43" s="9">
        <f>L43-M43</f>
        <v>4.0900000000000008E-3</v>
      </c>
      <c r="O43" s="15">
        <f>N43*L43</f>
        <v>3.6360100000000011E-5</v>
      </c>
      <c r="P43" s="9">
        <f>VLOOKUP(A43,Odds!A31:I31,7,FALSE)</f>
        <v>1.0499999999999999E-3</v>
      </c>
      <c r="Q43" s="9">
        <f>VLOOKUP(A43,'Yahoo WPW'!A31:I31,7,FALSE)</f>
        <v>2E-3</v>
      </c>
      <c r="R43" s="9">
        <f>P43-Q43</f>
        <v>-9.5000000000000011E-4</v>
      </c>
      <c r="S43" s="15">
        <f>R43*P43</f>
        <v>-9.9749999999999998E-7</v>
      </c>
      <c r="T43" s="9">
        <f>VLOOKUP(A43,Odds!A31:I31,8,FALSE)</f>
        <v>1.2999999999999999E-4</v>
      </c>
      <c r="U43" s="9">
        <f>VLOOKUP(A43,'Yahoo WPW'!A31:I31,8,FALSE)</f>
        <v>8.9999999999999998E-4</v>
      </c>
      <c r="V43" s="9">
        <f>T43-U43</f>
        <v>-7.6999999999999996E-4</v>
      </c>
      <c r="W43" s="15">
        <f>V43*T43</f>
        <v>-1.0009999999999999E-7</v>
      </c>
      <c r="X43" s="9">
        <f>VLOOKUP(A43,Odds!A31:I31,9,FALSE)</f>
        <v>1.0000000000000001E-5</v>
      </c>
      <c r="Y43" s="9">
        <f>VLOOKUP(A43,'Yahoo WPW'!A31:I31,9,FALSE)</f>
        <v>4.0000000000000002E-4</v>
      </c>
      <c r="Z43" s="9">
        <f>X43-Y43</f>
        <v>-3.8999999999999999E-4</v>
      </c>
      <c r="AA43" s="15">
        <f>Z43*X43</f>
        <v>-3.9000000000000002E-9</v>
      </c>
      <c r="AB43" s="16"/>
    </row>
    <row r="44" spans="1:28" ht="15.75" customHeight="1" x14ac:dyDescent="0.15">
      <c r="A44" s="5" t="s">
        <v>67</v>
      </c>
      <c r="B44" s="5">
        <v>10</v>
      </c>
      <c r="C44" s="5" t="s">
        <v>18</v>
      </c>
      <c r="D44" s="8">
        <f>VLOOKUP(A44,Odds!A11:I11,4,FALSE)</f>
        <v>0.22167999999999999</v>
      </c>
      <c r="E44" s="9">
        <f>VLOOKUP(A44,'Yahoo WPW'!A11:I11,4,FALSE)</f>
        <v>0.41620000000000001</v>
      </c>
      <c r="F44" s="9">
        <f>D44-E44</f>
        <v>-0.19452000000000003</v>
      </c>
      <c r="G44" s="15">
        <f>F44*D44</f>
        <v>-4.3121193600000003E-2</v>
      </c>
      <c r="H44" s="9">
        <f>VLOOKUP(A44,Odds!A11:I11,5,FALSE)</f>
        <v>4.2819999999999997E-2</v>
      </c>
      <c r="I44" s="9">
        <f>VLOOKUP(A44,'Yahoo WPW'!A11:I11,5,FALSE)</f>
        <v>5.5199999999999999E-2</v>
      </c>
      <c r="J44" s="9">
        <f>H44-I44</f>
        <v>-1.2380000000000002E-2</v>
      </c>
      <c r="K44" s="15">
        <f>J44*H44</f>
        <v>-5.3011160000000009E-4</v>
      </c>
      <c r="L44" s="9">
        <f>VLOOKUP(A44,Odds!A11:I11,6,FALSE)</f>
        <v>1.022E-2</v>
      </c>
      <c r="M44" s="9">
        <f>VLOOKUP(A44,'Yahoo WPW'!A11:I11,6,FALSE)</f>
        <v>1.9900000000000001E-2</v>
      </c>
      <c r="N44" s="9">
        <f>L44-M44</f>
        <v>-9.6800000000000011E-3</v>
      </c>
      <c r="O44" s="15">
        <f>N44*L44</f>
        <v>-9.8929600000000016E-5</v>
      </c>
      <c r="P44" s="9">
        <f>VLOOKUP(A44,Odds!A11:I11,7,FALSE)</f>
        <v>1.39E-3</v>
      </c>
      <c r="Q44" s="9">
        <f>VLOOKUP(A44,'Yahoo WPW'!A11:I11,7,FALSE)</f>
        <v>4.1999999999999997E-3</v>
      </c>
      <c r="R44" s="9">
        <f>P44-Q44</f>
        <v>-2.81E-3</v>
      </c>
      <c r="S44" s="15">
        <f>R44*P44</f>
        <v>-3.9059000000000002E-6</v>
      </c>
      <c r="T44" s="9">
        <f>VLOOKUP(A44,Odds!A11:I11,8,FALSE)</f>
        <v>2.5000000000000001E-4</v>
      </c>
      <c r="U44" s="9">
        <f>VLOOKUP(A44,'Yahoo WPW'!A11:I11,8,FALSE)</f>
        <v>1.6000000000000001E-3</v>
      </c>
      <c r="V44" s="9">
        <f>T44-U44</f>
        <v>-1.3500000000000001E-3</v>
      </c>
      <c r="W44" s="15">
        <f>V44*T44</f>
        <v>-3.3750000000000005E-7</v>
      </c>
      <c r="X44" s="9">
        <f>VLOOKUP(A44,Odds!A11:I11,9,FALSE)</f>
        <v>2.0000000000000002E-5</v>
      </c>
      <c r="Y44" s="9">
        <f>VLOOKUP(A44,'Yahoo WPW'!A11:I11,9,FALSE)</f>
        <v>6.9999999999999999E-4</v>
      </c>
      <c r="Z44" s="9">
        <f>X44-Y44</f>
        <v>-6.7999999999999994E-4</v>
      </c>
      <c r="AA44" s="15">
        <f>Z44*X44</f>
        <v>-1.3599999999999999E-8</v>
      </c>
      <c r="AB44" s="16"/>
    </row>
    <row r="45" spans="1:28" ht="15.75" customHeight="1" x14ac:dyDescent="0.15">
      <c r="A45" s="5" t="s">
        <v>66</v>
      </c>
      <c r="B45" s="5">
        <v>13</v>
      </c>
      <c r="C45" s="5" t="s">
        <v>16</v>
      </c>
      <c r="D45" s="8">
        <f>VLOOKUP(A45,Odds!A62:I62,4,FALSE)</f>
        <v>0.17737</v>
      </c>
      <c r="E45" s="9">
        <f>VLOOKUP(A45,'Yahoo WPW'!A62:I62,4,FALSE)</f>
        <v>0.13420000000000001</v>
      </c>
      <c r="F45" s="9">
        <f>D45-E45</f>
        <v>4.3169999999999986E-2</v>
      </c>
      <c r="G45" s="15">
        <f>F45*D45</f>
        <v>7.6570628999999973E-3</v>
      </c>
      <c r="H45" s="9">
        <f>VLOOKUP(A45,Odds!A62:I62,5,FALSE)</f>
        <v>5.3280000000000001E-2</v>
      </c>
      <c r="I45" s="9">
        <f>VLOOKUP(A45,'Yahoo WPW'!A62:I62,5,FALSE)</f>
        <v>4.5600000000000002E-2</v>
      </c>
      <c r="J45" s="9">
        <f>H45-I45</f>
        <v>7.6799999999999993E-3</v>
      </c>
      <c r="K45" s="15">
        <f>J45*H45</f>
        <v>4.0919039999999995E-4</v>
      </c>
      <c r="L45" s="9">
        <f>VLOOKUP(A45,Odds!A62:I62,6,FALSE)</f>
        <v>6.8300000000000001E-3</v>
      </c>
      <c r="M45" s="9">
        <f>VLOOKUP(A45,'Yahoo WPW'!A62:I62,6,FALSE)</f>
        <v>6.8999999999999999E-3</v>
      </c>
      <c r="N45" s="9">
        <f>L45-M45</f>
        <v>-6.999999999999975E-5</v>
      </c>
      <c r="O45" s="15">
        <f>N45*L45</f>
        <v>-4.7809999999999833E-7</v>
      </c>
      <c r="P45" s="9">
        <f>VLOOKUP(A45,Odds!A62:I62,7,FALSE)</f>
        <v>1.2600000000000001E-3</v>
      </c>
      <c r="Q45" s="9">
        <f>VLOOKUP(A45,'Yahoo WPW'!A62:I62,7,FALSE)</f>
        <v>2.8E-3</v>
      </c>
      <c r="R45" s="9">
        <f>P45-Q45</f>
        <v>-1.5399999999999999E-3</v>
      </c>
      <c r="S45" s="15">
        <f>R45*P45</f>
        <v>-1.9404000000000001E-6</v>
      </c>
      <c r="T45" s="9">
        <f>VLOOKUP(A45,Odds!A62:I62,8,FALSE)</f>
        <v>2.2000000000000001E-4</v>
      </c>
      <c r="U45" s="9">
        <f>VLOOKUP(A45,'Yahoo WPW'!A62:I62,8,FALSE)</f>
        <v>1.1999999999999999E-3</v>
      </c>
      <c r="V45" s="9">
        <f>T45-U45</f>
        <v>-9.7999999999999997E-4</v>
      </c>
      <c r="W45" s="15">
        <f>V45*T45</f>
        <v>-2.156E-7</v>
      </c>
      <c r="X45" s="9">
        <f>VLOOKUP(A45,Odds!A62:I62,9,FALSE)</f>
        <v>3.0000000000000001E-5</v>
      </c>
      <c r="Y45" s="9">
        <f>VLOOKUP(A45,'Yahoo WPW'!A62:I62,9,FALSE)</f>
        <v>5.9999999999999995E-4</v>
      </c>
      <c r="Z45" s="9">
        <f>X45-Y45</f>
        <v>-5.6999999999999998E-4</v>
      </c>
      <c r="AA45" s="15">
        <f>Z45*X45</f>
        <v>-1.7100000000000001E-8</v>
      </c>
      <c r="AB45" s="16"/>
    </row>
    <row r="46" spans="1:28" ht="15.75" customHeight="1" x14ac:dyDescent="0.15">
      <c r="A46" s="5" t="s">
        <v>64</v>
      </c>
      <c r="B46" s="5">
        <v>12</v>
      </c>
      <c r="C46" s="5" t="s">
        <v>14</v>
      </c>
      <c r="D46" s="8">
        <f>VLOOKUP(A46,Odds!A29:I29,4,FALSE)</f>
        <v>0.18359</v>
      </c>
      <c r="E46" s="9">
        <f>VLOOKUP(A46,'Yahoo WPW'!A29:I29,4,FALSE)</f>
        <v>0.14419999999999999</v>
      </c>
      <c r="F46" s="9">
        <f>D46-E46</f>
        <v>3.9390000000000008E-2</v>
      </c>
      <c r="G46" s="15">
        <f>F46*D46</f>
        <v>7.2316101000000016E-3</v>
      </c>
      <c r="H46" s="9">
        <f>VLOOKUP(A46,Odds!A29:I29,5,FALSE)</f>
        <v>6.071E-2</v>
      </c>
      <c r="I46" s="9">
        <f>VLOOKUP(A46,'Yahoo WPW'!A29:I29,5,FALSE)</f>
        <v>5.0999999999999997E-2</v>
      </c>
      <c r="J46" s="9">
        <f>H46-I46</f>
        <v>9.7100000000000034E-3</v>
      </c>
      <c r="K46" s="15">
        <f>J46*H46</f>
        <v>5.8949410000000023E-4</v>
      </c>
      <c r="L46" s="9">
        <f>VLOOKUP(A46,Odds!A29:I29,6,FALSE)</f>
        <v>6.3099999999999996E-3</v>
      </c>
      <c r="M46" s="9">
        <f>VLOOKUP(A46,'Yahoo WPW'!A29:I29,6,FALSE)</f>
        <v>6.7000000000000002E-3</v>
      </c>
      <c r="N46" s="9">
        <f>L46-M46</f>
        <v>-3.9000000000000059E-4</v>
      </c>
      <c r="O46" s="15">
        <f>N46*L46</f>
        <v>-2.4609000000000034E-6</v>
      </c>
      <c r="P46" s="9">
        <f>VLOOKUP(A46,Odds!A29:I29,7,FALSE)</f>
        <v>1.41E-3</v>
      </c>
      <c r="Q46" s="9">
        <f>VLOOKUP(A46,'Yahoo WPW'!A29:I29,7,FALSE)</f>
        <v>2.5000000000000001E-3</v>
      </c>
      <c r="R46" s="9">
        <f>P46-Q46</f>
        <v>-1.09E-3</v>
      </c>
      <c r="S46" s="15">
        <f>R46*P46</f>
        <v>-1.5369000000000001E-6</v>
      </c>
      <c r="T46" s="9">
        <f>VLOOKUP(A46,Odds!A29:I29,8,FALSE)</f>
        <v>1.4999999999999999E-4</v>
      </c>
      <c r="U46" s="9">
        <f>VLOOKUP(A46,'Yahoo WPW'!A29:I29,8,FALSE)</f>
        <v>1E-3</v>
      </c>
      <c r="V46" s="9">
        <f>T46-U46</f>
        <v>-8.5000000000000006E-4</v>
      </c>
      <c r="W46" s="15">
        <f>V46*T46</f>
        <v>-1.275E-7</v>
      </c>
      <c r="X46" s="9">
        <f>VLOOKUP(A46,Odds!A29:I29,9,FALSE)</f>
        <v>5.0000000000000002E-5</v>
      </c>
      <c r="Y46" s="9">
        <f>VLOOKUP(A46,'Yahoo WPW'!A29:I29,9,FALSE)</f>
        <v>4.0000000000000002E-4</v>
      </c>
      <c r="Z46" s="9">
        <f>X46-Y46</f>
        <v>-3.5E-4</v>
      </c>
      <c r="AA46" s="15">
        <f>Z46*X46</f>
        <v>-1.7500000000000001E-8</v>
      </c>
      <c r="AB46" s="16"/>
    </row>
    <row r="47" spans="1:28" ht="15.75" customHeight="1" x14ac:dyDescent="0.15">
      <c r="A47" s="5" t="s">
        <v>65</v>
      </c>
      <c r="B47" s="5">
        <v>13</v>
      </c>
      <c r="C47" s="5" t="s">
        <v>14</v>
      </c>
      <c r="D47" s="8">
        <f>VLOOKUP(A47,Odds!A30:I30,4,FALSE)</f>
        <v>0.31641999999999998</v>
      </c>
      <c r="E47" s="9">
        <f>VLOOKUP(A47,'Yahoo WPW'!A30:I30,4,FALSE)</f>
        <v>0.1452</v>
      </c>
      <c r="F47" s="9">
        <f>D47-E47</f>
        <v>0.17121999999999998</v>
      </c>
      <c r="G47" s="15">
        <f>F47*D47</f>
        <v>5.4177432399999989E-2</v>
      </c>
      <c r="H47" s="9">
        <f>VLOOKUP(A47,Odds!A30:I30,5,FALSE)</f>
        <v>8.727E-2</v>
      </c>
      <c r="I47" s="9">
        <f>VLOOKUP(A47,'Yahoo WPW'!A30:I30,5,FALSE)</f>
        <v>3.9300000000000002E-2</v>
      </c>
      <c r="J47" s="9">
        <f>H47-I47</f>
        <v>4.7969999999999999E-2</v>
      </c>
      <c r="K47" s="15">
        <f>J47*H47</f>
        <v>4.1863418999999995E-3</v>
      </c>
      <c r="L47" s="9">
        <f>VLOOKUP(A47,Odds!A30:I30,6,FALSE)</f>
        <v>1.082E-2</v>
      </c>
      <c r="M47" s="9">
        <f>VLOOKUP(A47,'Yahoo WPW'!A30:I30,6,FALSE)</f>
        <v>6.0000000000000001E-3</v>
      </c>
      <c r="N47" s="9">
        <f>L47-M47</f>
        <v>4.8199999999999996E-3</v>
      </c>
      <c r="O47" s="15">
        <f>N47*L47</f>
        <v>5.2152399999999992E-5</v>
      </c>
      <c r="P47" s="9">
        <f>VLOOKUP(A47,Odds!A30:I30,7,FALSE)</f>
        <v>2.5899999999999999E-3</v>
      </c>
      <c r="Q47" s="9">
        <f>VLOOKUP(A47,'Yahoo WPW'!A30:I30,7,FALSE)</f>
        <v>2.7000000000000001E-3</v>
      </c>
      <c r="R47" s="9">
        <f>P47-Q47</f>
        <v>-1.1000000000000029E-4</v>
      </c>
      <c r="S47" s="15">
        <f>R47*P47</f>
        <v>-2.849000000000007E-7</v>
      </c>
      <c r="T47" s="9">
        <f>VLOOKUP(A47,Odds!A30:I30,8,FALSE)</f>
        <v>4.2999999999999999E-4</v>
      </c>
      <c r="U47" s="9">
        <f>VLOOKUP(A47,'Yahoo WPW'!A30:I30,8,FALSE)</f>
        <v>1E-3</v>
      </c>
      <c r="V47" s="9">
        <f>T47-U47</f>
        <v>-5.6999999999999998E-4</v>
      </c>
      <c r="W47" s="15">
        <f>V47*T47</f>
        <v>-2.4509999999999999E-7</v>
      </c>
      <c r="X47" s="9">
        <f>VLOOKUP(A47,Odds!A30:I30,9,FALSE)</f>
        <v>5.0000000000000002E-5</v>
      </c>
      <c r="Y47" s="9">
        <f>VLOOKUP(A47,'Yahoo WPW'!A30:I30,9,FALSE)</f>
        <v>5.0000000000000001E-4</v>
      </c>
      <c r="Z47" s="9">
        <f>X47-Y47</f>
        <v>-4.4999999999999999E-4</v>
      </c>
      <c r="AA47" s="15">
        <f>Z47*X47</f>
        <v>-2.25E-8</v>
      </c>
      <c r="AB47" s="16"/>
    </row>
    <row r="48" spans="1:28" ht="15.75" customHeight="1" x14ac:dyDescent="0.15">
      <c r="A48" s="5" t="s">
        <v>60</v>
      </c>
      <c r="B48" s="5">
        <v>12</v>
      </c>
      <c r="C48" s="5" t="s">
        <v>18</v>
      </c>
      <c r="D48" s="8">
        <f>VLOOKUP(A48,Odds!A13:I13,4,FALSE)</f>
        <v>0.38562999999999997</v>
      </c>
      <c r="E48" s="9">
        <f>VLOOKUP(A48,'Yahoo WPW'!A13:I13,4,FALSE)</f>
        <v>0.17219999999999999</v>
      </c>
      <c r="F48" s="9">
        <f>D48-E48</f>
        <v>0.21342999999999998</v>
      </c>
      <c r="G48" s="15">
        <f>F48*D48</f>
        <v>8.2305010899999989E-2</v>
      </c>
      <c r="H48" s="9">
        <f>VLOOKUP(A48,Odds!A13:I13,5,FALSE)</f>
        <v>0.12920999999999999</v>
      </c>
      <c r="I48" s="9">
        <f>VLOOKUP(A48,'Yahoo WPW'!A13:I13,5,FALSE)</f>
        <v>4.4999999999999998E-2</v>
      </c>
      <c r="J48" s="9">
        <f>H48-I48</f>
        <v>8.4209999999999993E-2</v>
      </c>
      <c r="K48" s="15">
        <f>J48*H48</f>
        <v>1.0880774099999999E-2</v>
      </c>
      <c r="L48" s="9">
        <f>VLOOKUP(A48,Odds!A13:I13,6,FALSE)</f>
        <v>2.5669999999999998E-2</v>
      </c>
      <c r="M48" s="9">
        <f>VLOOKUP(A48,'Yahoo WPW'!A13:I13,6,FALSE)</f>
        <v>5.7000000000000002E-3</v>
      </c>
      <c r="N48" s="9">
        <f>L48-M48</f>
        <v>1.9969999999999998E-2</v>
      </c>
      <c r="O48" s="15">
        <f>N48*L48</f>
        <v>5.1262989999999989E-4</v>
      </c>
      <c r="P48" s="9">
        <f>VLOOKUP(A48,Odds!A13:I13,7,FALSE)</f>
        <v>7.0299999999999998E-3</v>
      </c>
      <c r="Q48" s="9">
        <f>VLOOKUP(A48,'Yahoo WPW'!A13:I13,7,FALSE)</f>
        <v>2.5000000000000001E-3</v>
      </c>
      <c r="R48" s="9">
        <f>P48-Q48</f>
        <v>4.5299999999999993E-3</v>
      </c>
      <c r="S48" s="15">
        <f>R48*P48</f>
        <v>3.1845899999999993E-5</v>
      </c>
      <c r="T48" s="9">
        <f>VLOOKUP(A48,Odds!A13:I13,8,FALSE)</f>
        <v>1.3500000000000001E-3</v>
      </c>
      <c r="U48" s="9">
        <f>VLOOKUP(A48,'Yahoo WPW'!A13:I13,8,FALSE)</f>
        <v>1.1000000000000001E-3</v>
      </c>
      <c r="V48" s="9">
        <f>T48-U48</f>
        <v>2.5000000000000001E-4</v>
      </c>
      <c r="W48" s="15">
        <f>V48*T48</f>
        <v>3.3750000000000005E-7</v>
      </c>
      <c r="X48" s="9">
        <f>VLOOKUP(A48,Odds!A13:I13,9,FALSE)</f>
        <v>2.9E-4</v>
      </c>
      <c r="Y48" s="9">
        <f>VLOOKUP(A48,'Yahoo WPW'!A13:I13,9,FALSE)</f>
        <v>5.0000000000000001E-4</v>
      </c>
      <c r="Z48" s="9">
        <f>X48-Y48</f>
        <v>-2.1000000000000001E-4</v>
      </c>
      <c r="AA48" s="15">
        <f>Z48*X48</f>
        <v>-6.0900000000000009E-8</v>
      </c>
      <c r="AB48" s="16"/>
    </row>
    <row r="49" spans="1:28" ht="15.75" customHeight="1" x14ac:dyDescent="0.15">
      <c r="A49" s="5" t="s">
        <v>59</v>
      </c>
      <c r="B49" s="5">
        <v>8</v>
      </c>
      <c r="C49" s="5" t="s">
        <v>18</v>
      </c>
      <c r="D49" s="8">
        <f>VLOOKUP(A49,Odds!A9:I9,4,FALSE)</f>
        <v>0.42203000000000002</v>
      </c>
      <c r="E49" s="9">
        <f>VLOOKUP(A49,'Yahoo WPW'!A9:I9,4,FALSE)</f>
        <v>0.42099999999999999</v>
      </c>
      <c r="F49" s="9">
        <f>D49-E49</f>
        <v>1.0300000000000309E-3</v>
      </c>
      <c r="G49" s="15">
        <f>F49*D49</f>
        <v>4.3469090000001305E-4</v>
      </c>
      <c r="H49" s="9">
        <f>VLOOKUP(A49,Odds!A9:I9,5,FALSE)</f>
        <v>7.1690000000000004E-2</v>
      </c>
      <c r="I49" s="9">
        <f>VLOOKUP(A49,'Yahoo WPW'!A9:I9,5,FALSE)</f>
        <v>2.1399999999999999E-2</v>
      </c>
      <c r="J49" s="9">
        <f>H49-I49</f>
        <v>5.0290000000000001E-2</v>
      </c>
      <c r="K49" s="15">
        <f>J49*H49</f>
        <v>3.6052901000000002E-3</v>
      </c>
      <c r="L49" s="9">
        <f>VLOOKUP(A49,Odds!A9:I9,6,FALSE)</f>
        <v>2.5839999999999998E-2</v>
      </c>
      <c r="M49" s="9">
        <f>VLOOKUP(A49,'Yahoo WPW'!A9:I9,6,FALSE)</f>
        <v>9.1000000000000004E-3</v>
      </c>
      <c r="N49" s="9">
        <f>L49-M49</f>
        <v>1.6739999999999998E-2</v>
      </c>
      <c r="O49" s="15">
        <f>N49*L49</f>
        <v>4.3256159999999991E-4</v>
      </c>
      <c r="P49" s="9">
        <f>VLOOKUP(A49,Odds!A9:I9,7,FALSE)</f>
        <v>7.3899999999999999E-3</v>
      </c>
      <c r="Q49" s="9">
        <f>VLOOKUP(A49,'Yahoo WPW'!A9:I9,7,FALSE)</f>
        <v>3.2000000000000002E-3</v>
      </c>
      <c r="R49" s="9">
        <f>P49-Q49</f>
        <v>4.1899999999999993E-3</v>
      </c>
      <c r="S49" s="15">
        <f>R49*P49</f>
        <v>3.0964099999999997E-5</v>
      </c>
      <c r="T49" s="9">
        <f>VLOOKUP(A49,Odds!A9:I9,8,FALSE)</f>
        <v>1.82E-3</v>
      </c>
      <c r="U49" s="9">
        <f>VLOOKUP(A49,'Yahoo WPW'!A9:I9,8,FALSE)</f>
        <v>1.2999999999999999E-3</v>
      </c>
      <c r="V49" s="9">
        <f>T49-U49</f>
        <v>5.2000000000000006E-4</v>
      </c>
      <c r="W49" s="15">
        <f>V49*T49</f>
        <v>9.4640000000000016E-7</v>
      </c>
      <c r="X49" s="9">
        <f>VLOOKUP(A49,Odds!A9:I9,9,FALSE)</f>
        <v>4.6000000000000001E-4</v>
      </c>
      <c r="Y49" s="9">
        <f>VLOOKUP(A49,'Yahoo WPW'!A9:I9,9,FALSE)</f>
        <v>5.9999999999999995E-4</v>
      </c>
      <c r="Z49" s="9">
        <f>X49-Y49</f>
        <v>-1.3999999999999993E-4</v>
      </c>
      <c r="AA49" s="15">
        <f>Z49*X49</f>
        <v>-6.4399999999999968E-8</v>
      </c>
      <c r="AB49" s="16"/>
    </row>
    <row r="50" spans="1:28" ht="15.75" customHeight="1" x14ac:dyDescent="0.15">
      <c r="A50" s="5" t="s">
        <v>61</v>
      </c>
      <c r="B50" s="5">
        <v>9</v>
      </c>
      <c r="C50" s="5" t="s">
        <v>16</v>
      </c>
      <c r="D50" s="8">
        <f>VLOOKUP(A50,Odds!A58:I58,4,FALSE)</f>
        <v>0.31962000000000002</v>
      </c>
      <c r="E50" s="9">
        <f>VLOOKUP(A50,'Yahoo WPW'!A58:I58,4,FALSE)</f>
        <v>0.29730000000000001</v>
      </c>
      <c r="F50" s="9">
        <f>D50-E50</f>
        <v>2.2320000000000007E-2</v>
      </c>
      <c r="G50" s="15">
        <f>F50*D50</f>
        <v>7.1339184000000022E-3</v>
      </c>
      <c r="H50" s="9">
        <f>VLOOKUP(A50,Odds!A58:I58,5,FALSE)</f>
        <v>4.8619999999999997E-2</v>
      </c>
      <c r="I50" s="9">
        <f>VLOOKUP(A50,'Yahoo WPW'!A58:I58,5,FALSE)</f>
        <v>2.69E-2</v>
      </c>
      <c r="J50" s="9">
        <f>H50-I50</f>
        <v>2.1719999999999996E-2</v>
      </c>
      <c r="K50" s="15">
        <f>J50*H50</f>
        <v>1.0560263999999998E-3</v>
      </c>
      <c r="L50" s="9">
        <f>VLOOKUP(A50,Odds!A58:I58,6,FALSE)</f>
        <v>1.6119999999999999E-2</v>
      </c>
      <c r="M50" s="9">
        <f>VLOOKUP(A50,'Yahoo WPW'!A58:I58,6,FALSE)</f>
        <v>1.2699999999999999E-2</v>
      </c>
      <c r="N50" s="9">
        <f>L50-M50</f>
        <v>3.4199999999999994E-3</v>
      </c>
      <c r="O50" s="15">
        <f>N50*L50</f>
        <v>5.513039999999999E-5</v>
      </c>
      <c r="P50" s="9">
        <f>VLOOKUP(A50,Odds!A58:I58,7,FALSE)</f>
        <v>4.4099999999999999E-3</v>
      </c>
      <c r="Q50" s="9">
        <f>VLOOKUP(A50,'Yahoo WPW'!A58:I58,7,FALSE)</f>
        <v>5.0000000000000001E-3</v>
      </c>
      <c r="R50" s="9">
        <f>P50-Q50</f>
        <v>-5.9000000000000025E-4</v>
      </c>
      <c r="S50" s="15">
        <f>R50*P50</f>
        <v>-2.6019000000000009E-6</v>
      </c>
      <c r="T50" s="9">
        <f>VLOOKUP(A50,Odds!A58:I58,8,FALSE)</f>
        <v>1.1100000000000001E-3</v>
      </c>
      <c r="U50" s="9">
        <f>VLOOKUP(A50,'Yahoo WPW'!A58:I58,8,FALSE)</f>
        <v>2.0999999999999999E-3</v>
      </c>
      <c r="V50" s="9">
        <f>T50-U50</f>
        <v>-9.8999999999999978E-4</v>
      </c>
      <c r="W50" s="15">
        <f>V50*T50</f>
        <v>-1.0988999999999998E-6</v>
      </c>
      <c r="X50" s="9">
        <f>VLOOKUP(A50,Odds!A58:I58,9,FALSE)</f>
        <v>2.4000000000000001E-4</v>
      </c>
      <c r="Y50" s="9">
        <f>VLOOKUP(A50,'Yahoo WPW'!A58:I58,9,FALSE)</f>
        <v>8.9999999999999998E-4</v>
      </c>
      <c r="Z50" s="9">
        <f>X50-Y50</f>
        <v>-6.6E-4</v>
      </c>
      <c r="AA50" s="15">
        <f>Z50*X50</f>
        <v>-1.5840000000000002E-7</v>
      </c>
      <c r="AB50" s="16"/>
    </row>
    <row r="51" spans="1:28" ht="15.75" customHeight="1" x14ac:dyDescent="0.15">
      <c r="A51" s="5" t="s">
        <v>62</v>
      </c>
      <c r="B51" s="5">
        <v>10</v>
      </c>
      <c r="C51" s="5" t="s">
        <v>16</v>
      </c>
      <c r="D51" s="8">
        <f>VLOOKUP(A51,Odds!A59:I59,4,FALSE)</f>
        <v>0.42736000000000002</v>
      </c>
      <c r="E51" s="9">
        <f>VLOOKUP(A51,'Yahoo WPW'!A59:I59,4,FALSE)</f>
        <v>0.34610000000000002</v>
      </c>
      <c r="F51" s="9">
        <f>D51-E51</f>
        <v>8.1259999999999999E-2</v>
      </c>
      <c r="G51" s="15">
        <f>F51*D51</f>
        <v>3.4727273600000004E-2</v>
      </c>
      <c r="H51" s="9">
        <f>VLOOKUP(A51,Odds!A59:I59,5,FALSE)</f>
        <v>9.0529999999999999E-2</v>
      </c>
      <c r="I51" s="9">
        <f>VLOOKUP(A51,'Yahoo WPW'!A59:I59,5,FALSE)</f>
        <v>6.1899999999999997E-2</v>
      </c>
      <c r="J51" s="9">
        <f>H51-I51</f>
        <v>2.8630000000000003E-2</v>
      </c>
      <c r="K51" s="15">
        <f>J51*H51</f>
        <v>2.5918739000000001E-3</v>
      </c>
      <c r="L51" s="9">
        <f>VLOOKUP(A51,Odds!A59:I59,6,FALSE)</f>
        <v>3.0259999999999999E-2</v>
      </c>
      <c r="M51" s="9">
        <f>VLOOKUP(A51,'Yahoo WPW'!A59:I59,6,FALSE)</f>
        <v>2.2800000000000001E-2</v>
      </c>
      <c r="N51" s="9">
        <f>L51-M51</f>
        <v>7.4599999999999979E-3</v>
      </c>
      <c r="O51" s="15">
        <f>N51*L51</f>
        <v>2.2573959999999994E-4</v>
      </c>
      <c r="P51" s="9">
        <f>VLOOKUP(A51,Odds!A59:I59,7,FALSE)</f>
        <v>6.4400000000000004E-3</v>
      </c>
      <c r="Q51" s="9">
        <f>VLOOKUP(A51,'Yahoo WPW'!A59:I59,7,FALSE)</f>
        <v>5.7000000000000002E-3</v>
      </c>
      <c r="R51" s="9">
        <f>P51-Q51</f>
        <v>7.4000000000000021E-4</v>
      </c>
      <c r="S51" s="15">
        <f>R51*P51</f>
        <v>4.7656000000000014E-6</v>
      </c>
      <c r="T51" s="9">
        <f>VLOOKUP(A51,Odds!A59:I59,8,FALSE)</f>
        <v>1.6100000000000001E-3</v>
      </c>
      <c r="U51" s="9">
        <f>VLOOKUP(A51,'Yahoo WPW'!A59:I59,8,FALSE)</f>
        <v>2.5000000000000001E-3</v>
      </c>
      <c r="V51" s="9">
        <f>T51-U51</f>
        <v>-8.8999999999999995E-4</v>
      </c>
      <c r="W51" s="15">
        <f>V51*T51</f>
        <v>-1.4329000000000001E-6</v>
      </c>
      <c r="X51" s="9">
        <f>VLOOKUP(A51,Odds!A59:I59,9,FALSE)</f>
        <v>2.3000000000000001E-4</v>
      </c>
      <c r="Y51" s="9">
        <f>VLOOKUP(A51,'Yahoo WPW'!A59:I59,9,FALSE)</f>
        <v>1.1999999999999999E-3</v>
      </c>
      <c r="Z51" s="9">
        <f>X51-Y51</f>
        <v>-9.6999999999999994E-4</v>
      </c>
      <c r="AA51" s="15">
        <f>Z51*X51</f>
        <v>-2.2310000000000001E-7</v>
      </c>
      <c r="AB51" s="16"/>
    </row>
    <row r="52" spans="1:28" ht="13" x14ac:dyDescent="0.15">
      <c r="A52" s="5" t="s">
        <v>55</v>
      </c>
      <c r="B52" s="5">
        <v>6</v>
      </c>
      <c r="C52" s="5" t="s">
        <v>20</v>
      </c>
      <c r="D52" s="8">
        <f>VLOOKUP(A52,Odds!A39:I39,4,FALSE)</f>
        <v>0.42981000000000003</v>
      </c>
      <c r="E52" s="9">
        <f>VLOOKUP(A52,'Yahoo WPW'!A39:I39,4,FALSE)</f>
        <v>0.65720000000000001</v>
      </c>
      <c r="F52" s="9">
        <f>D52-E52</f>
        <v>-0.22738999999999998</v>
      </c>
      <c r="G52" s="15">
        <f>F52*D52</f>
        <v>-9.7734495899999996E-2</v>
      </c>
      <c r="H52" s="9">
        <f>VLOOKUP(A52,Odds!A39:I39,5,FALSE)</f>
        <v>0.18912000000000001</v>
      </c>
      <c r="I52" s="9">
        <f>VLOOKUP(A52,'Yahoo WPW'!A39:I39,5,FALSE)</f>
        <v>0.22889999999999999</v>
      </c>
      <c r="J52" s="9">
        <f>H52-I52</f>
        <v>-3.9779999999999982E-2</v>
      </c>
      <c r="K52" s="15">
        <f>J52*H52</f>
        <v>-7.5231935999999968E-3</v>
      </c>
      <c r="L52" s="9">
        <f>VLOOKUP(A52,Odds!A39:I39,6,FALSE)</f>
        <v>6.0449999999999997E-2</v>
      </c>
      <c r="M52" s="9">
        <f>VLOOKUP(A52,'Yahoo WPW'!A39:I39,6,FALSE)</f>
        <v>8.6499999999999994E-2</v>
      </c>
      <c r="N52" s="9">
        <f>L52-M52</f>
        <v>-2.6049999999999997E-2</v>
      </c>
      <c r="O52" s="15">
        <f>N52*L52</f>
        <v>-1.5747224999999997E-3</v>
      </c>
      <c r="P52" s="9">
        <f>VLOOKUP(A52,Odds!A39:I39,7,FALSE)</f>
        <v>1.8339999999999999E-2</v>
      </c>
      <c r="Q52" s="9">
        <f>VLOOKUP(A52,'Yahoo WPW'!A39:I39,7,FALSE)</f>
        <v>1.2999999999999999E-2</v>
      </c>
      <c r="R52" s="9">
        <f>P52-Q52</f>
        <v>5.3399999999999993E-3</v>
      </c>
      <c r="S52" s="15">
        <f>R52*P52</f>
        <v>9.7935599999999978E-5</v>
      </c>
      <c r="T52" s="9">
        <f>VLOOKUP(A52,Odds!A39:I39,8,FALSE)</f>
        <v>4.3699999999999998E-3</v>
      </c>
      <c r="U52" s="9">
        <f>VLOOKUP(A52,'Yahoo WPW'!A39:I39,8,FALSE)</f>
        <v>6.6E-3</v>
      </c>
      <c r="V52" s="9">
        <f>T52-U52</f>
        <v>-2.2300000000000002E-3</v>
      </c>
      <c r="W52" s="15">
        <f>V52*T52</f>
        <v>-9.7451000000000009E-6</v>
      </c>
      <c r="X52" s="9">
        <f>VLOOKUP(A52,Odds!A39:I39,9,FALSE)</f>
        <v>1.1199999999999999E-3</v>
      </c>
      <c r="Y52" s="9">
        <f>VLOOKUP(A52,'Yahoo WPW'!A39:I39,9,FALSE)</f>
        <v>1.4E-3</v>
      </c>
      <c r="Z52" s="9">
        <f>X52-Y52</f>
        <v>-2.8000000000000008E-4</v>
      </c>
      <c r="AA52" s="15">
        <f>Z52*X52</f>
        <v>-3.1360000000000006E-7</v>
      </c>
      <c r="AB52" s="16"/>
    </row>
    <row r="53" spans="1:28" ht="13" x14ac:dyDescent="0.15">
      <c r="A53" s="5" t="s">
        <v>63</v>
      </c>
      <c r="B53" s="5">
        <v>13</v>
      </c>
      <c r="C53" s="5" t="s">
        <v>20</v>
      </c>
      <c r="D53" s="8">
        <f>VLOOKUP(A53,Odds!A46:I46,4,FALSE)</f>
        <v>0.32412000000000002</v>
      </c>
      <c r="E53" s="9">
        <f>VLOOKUP(A53,'Yahoo WPW'!A46:I46,4,FALSE)</f>
        <v>0.20899999999999999</v>
      </c>
      <c r="F53" s="9">
        <f>D53-E53</f>
        <v>0.11512000000000003</v>
      </c>
      <c r="G53" s="15">
        <f>F53*D53</f>
        <v>3.7312694400000013E-2</v>
      </c>
      <c r="H53" s="9">
        <f>VLOOKUP(A53,Odds!A46:I46,5,FALSE)</f>
        <v>0.10692</v>
      </c>
      <c r="I53" s="9">
        <f>VLOOKUP(A53,'Yahoo WPW'!A46:I46,5,FALSE)</f>
        <v>4.9599999999999998E-2</v>
      </c>
      <c r="J53" s="9">
        <f>H53-I53</f>
        <v>5.7320000000000003E-2</v>
      </c>
      <c r="K53" s="15">
        <f>J53*H53</f>
        <v>6.1286544E-3</v>
      </c>
      <c r="L53" s="9">
        <f>VLOOKUP(A53,Odds!A46:I46,6,FALSE)</f>
        <v>1.9550000000000001E-2</v>
      </c>
      <c r="M53" s="9">
        <f>VLOOKUP(A53,'Yahoo WPW'!A46:I46,6,FALSE)</f>
        <v>9.5999999999999992E-3</v>
      </c>
      <c r="N53" s="9">
        <f>L53-M53</f>
        <v>9.9500000000000022E-3</v>
      </c>
      <c r="O53" s="15">
        <f>N53*L53</f>
        <v>1.9452250000000007E-4</v>
      </c>
      <c r="P53" s="9">
        <f>VLOOKUP(A53,Odds!A46:I46,7,FALSE)</f>
        <v>5.0299999999999997E-3</v>
      </c>
      <c r="Q53" s="9">
        <f>VLOOKUP(A53,'Yahoo WPW'!A46:I46,7,FALSE)</f>
        <v>5.4000000000000003E-3</v>
      </c>
      <c r="R53" s="9">
        <f>P53-Q53</f>
        <v>-3.7000000000000054E-4</v>
      </c>
      <c r="S53" s="15">
        <f>R53*P53</f>
        <v>-1.8611000000000026E-6</v>
      </c>
      <c r="T53" s="9">
        <f>VLOOKUP(A53,Odds!A46:I46,8,FALSE)</f>
        <v>9.6000000000000002E-4</v>
      </c>
      <c r="U53" s="9">
        <f>VLOOKUP(A53,'Yahoo WPW'!A46:I46,8,FALSE)</f>
        <v>3.3E-3</v>
      </c>
      <c r="V53" s="9">
        <f>T53-U53</f>
        <v>-2.3400000000000001E-3</v>
      </c>
      <c r="W53" s="15">
        <f>V53*T53</f>
        <v>-2.2464000000000002E-6</v>
      </c>
      <c r="X53" s="9">
        <f>VLOOKUP(A53,Odds!A46:I46,9,FALSE)</f>
        <v>2.0000000000000001E-4</v>
      </c>
      <c r="Y53" s="9">
        <f>VLOOKUP(A53,'Yahoo WPW'!A46:I46,9,FALSE)</f>
        <v>2.0999999999999999E-3</v>
      </c>
      <c r="Z53" s="9">
        <f>X53-Y53</f>
        <v>-1.8999999999999998E-3</v>
      </c>
      <c r="AA53" s="15">
        <f>Z53*X53</f>
        <v>-3.7999999999999996E-7</v>
      </c>
      <c r="AB53" s="16"/>
    </row>
    <row r="54" spans="1:28" ht="13" x14ac:dyDescent="0.15">
      <c r="A54" s="5" t="s">
        <v>49</v>
      </c>
      <c r="B54" s="5">
        <v>5</v>
      </c>
      <c r="C54" s="5" t="s">
        <v>16</v>
      </c>
      <c r="D54" s="8">
        <f>VLOOKUP(A54,Odds!A54:I54,4,FALSE)</f>
        <v>0.52408999999999994</v>
      </c>
      <c r="E54" s="9">
        <f>VLOOKUP(A54,'Yahoo WPW'!A54:I54,4,FALSE)</f>
        <v>0.69359999999999999</v>
      </c>
      <c r="F54" s="9">
        <f>D54-E54</f>
        <v>-0.16951000000000005</v>
      </c>
      <c r="G54" s="15">
        <f>F54*D54</f>
        <v>-8.8838495900000022E-2</v>
      </c>
      <c r="H54" s="9">
        <f>VLOOKUP(A54,Odds!A54:I54,5,FALSE)</f>
        <v>0.21117</v>
      </c>
      <c r="I54" s="9">
        <f>VLOOKUP(A54,'Yahoo WPW'!A54:I54,5,FALSE)</f>
        <v>0.33879999999999999</v>
      </c>
      <c r="J54" s="9">
        <f>H54-I54</f>
        <v>-0.12762999999999999</v>
      </c>
      <c r="K54" s="15">
        <f>J54*H54</f>
        <v>-2.6951627099999997E-2</v>
      </c>
      <c r="L54" s="9">
        <f>VLOOKUP(A54,Odds!A54:I54,6,FALSE)</f>
        <v>5.2200000000000003E-2</v>
      </c>
      <c r="M54" s="9">
        <f>VLOOKUP(A54,'Yahoo WPW'!A54:I54,6,FALSE)</f>
        <v>4.7899999999999998E-2</v>
      </c>
      <c r="N54" s="9">
        <f>L54-M54</f>
        <v>4.3000000000000052E-3</v>
      </c>
      <c r="O54" s="15">
        <f>N54*L54</f>
        <v>2.2446000000000027E-4</v>
      </c>
      <c r="P54" s="9">
        <f>VLOOKUP(A54,Odds!A54:I54,7,FALSE)</f>
        <v>1.8319999999999999E-2</v>
      </c>
      <c r="Q54" s="9">
        <f>VLOOKUP(A54,'Yahoo WPW'!A54:I54,7,FALSE)</f>
        <v>1.7500000000000002E-2</v>
      </c>
      <c r="R54" s="9">
        <f>P54-Q54</f>
        <v>8.1999999999999781E-4</v>
      </c>
      <c r="S54" s="15">
        <f>R54*P54</f>
        <v>1.502239999999996E-5</v>
      </c>
      <c r="T54" s="9">
        <f>VLOOKUP(A54,Odds!A54:I54,8,FALSE)</f>
        <v>6.1700000000000001E-3</v>
      </c>
      <c r="U54" s="9">
        <f>VLOOKUP(A54,'Yahoo WPW'!A54:I54,8,FALSE)</f>
        <v>6.3E-3</v>
      </c>
      <c r="V54" s="9">
        <f>T54-U54</f>
        <v>-1.2999999999999991E-4</v>
      </c>
      <c r="W54" s="15">
        <f>V54*T54</f>
        <v>-8.0209999999999949E-7</v>
      </c>
      <c r="X54" s="9">
        <f>VLOOKUP(A54,Odds!A54:I54,9,FALSE)</f>
        <v>1.64E-3</v>
      </c>
      <c r="Y54" s="9">
        <f>VLOOKUP(A54,'Yahoo WPW'!A54:I54,9,FALSE)</f>
        <v>2.3E-3</v>
      </c>
      <c r="Z54" s="9">
        <f>X54-Y54</f>
        <v>-6.6E-4</v>
      </c>
      <c r="AA54" s="15">
        <f>Z54*X54</f>
        <v>-1.0824E-6</v>
      </c>
      <c r="AB54" s="16"/>
    </row>
    <row r="55" spans="1:28" ht="13" x14ac:dyDescent="0.15">
      <c r="A55" s="5" t="s">
        <v>56</v>
      </c>
      <c r="B55" s="5">
        <v>6</v>
      </c>
      <c r="C55" s="5" t="s">
        <v>16</v>
      </c>
      <c r="D55" s="8">
        <f>VLOOKUP(A55,Odds!A55:I55,4,FALSE)</f>
        <v>0.45601999999999998</v>
      </c>
      <c r="E55" s="9">
        <f>VLOOKUP(A55,'Yahoo WPW'!A55:I55,4,FALSE)</f>
        <v>0.5877</v>
      </c>
      <c r="F55" s="9">
        <f>D55-E55</f>
        <v>-0.13168000000000002</v>
      </c>
      <c r="G55" s="15">
        <f>F55*D55</f>
        <v>-6.0048713600000005E-2</v>
      </c>
      <c r="H55" s="9">
        <f>VLOOKUP(A55,Odds!A55:I55,5,FALSE)</f>
        <v>0.17136999999999999</v>
      </c>
      <c r="I55" s="9">
        <f>VLOOKUP(A55,'Yahoo WPW'!A55:I55,5,FALSE)</f>
        <v>0.22539999999999999</v>
      </c>
      <c r="J55" s="9">
        <f>H55-I55</f>
        <v>-5.4029999999999995E-2</v>
      </c>
      <c r="K55" s="15">
        <f>J55*H55</f>
        <v>-9.2591210999999982E-3</v>
      </c>
      <c r="L55" s="9">
        <f>VLOOKUP(A55,Odds!A55:I55,6,FALSE)</f>
        <v>5.0119999999999998E-2</v>
      </c>
      <c r="M55" s="9">
        <f>VLOOKUP(A55,'Yahoo WPW'!A55:I55,6,FALSE)</f>
        <v>8.6199999999999999E-2</v>
      </c>
      <c r="N55" s="9">
        <f>L55-M55</f>
        <v>-3.6080000000000001E-2</v>
      </c>
      <c r="O55" s="15">
        <f>N55*L55</f>
        <v>-1.8083296E-3</v>
      </c>
      <c r="P55" s="9">
        <f>VLOOKUP(A55,Odds!A55:I55,7,FALSE)</f>
        <v>1.2160000000000001E-2</v>
      </c>
      <c r="Q55" s="9">
        <f>VLOOKUP(A55,'Yahoo WPW'!A55:I55,7,FALSE)</f>
        <v>1.14E-2</v>
      </c>
      <c r="R55" s="9">
        <f>P55-Q55</f>
        <v>7.6000000000000026E-4</v>
      </c>
      <c r="S55" s="15">
        <f>R55*P55</f>
        <v>9.2416000000000031E-6</v>
      </c>
      <c r="T55" s="9">
        <f>VLOOKUP(A55,Odds!A55:I55,8,FALSE)</f>
        <v>3.9899999999999996E-3</v>
      </c>
      <c r="U55" s="9">
        <f>VLOOKUP(A55,'Yahoo WPW'!A55:I55,8,FALSE)</f>
        <v>4.3E-3</v>
      </c>
      <c r="V55" s="9">
        <f>T55-U55</f>
        <v>-3.1000000000000038E-4</v>
      </c>
      <c r="W55" s="15">
        <f>V55*T55</f>
        <v>-1.2369000000000014E-6</v>
      </c>
      <c r="X55" s="9">
        <f>VLOOKUP(A55,Odds!A55:I55,9,FALSE)</f>
        <v>9.6000000000000002E-4</v>
      </c>
      <c r="Y55" s="9">
        <f>VLOOKUP(A55,'Yahoo WPW'!A55:I55,9,FALSE)</f>
        <v>2.2000000000000001E-3</v>
      </c>
      <c r="Z55" s="9">
        <f>X55-Y55</f>
        <v>-1.2400000000000002E-3</v>
      </c>
      <c r="AA55" s="15">
        <f>Z55*X55</f>
        <v>-1.1904000000000003E-6</v>
      </c>
      <c r="AB55" s="16"/>
    </row>
    <row r="56" spans="1:28" ht="13" x14ac:dyDescent="0.15">
      <c r="A56" s="5" t="s">
        <v>57</v>
      </c>
      <c r="B56" s="5">
        <v>9</v>
      </c>
      <c r="C56" s="5" t="s">
        <v>14</v>
      </c>
      <c r="D56" s="8">
        <f>VLOOKUP(A56,Odds!A26:I26,4,FALSE)</f>
        <v>0.31685999999999998</v>
      </c>
      <c r="E56" s="9">
        <f>VLOOKUP(A56,'Yahoo WPW'!A26:I26,4,FALSE)</f>
        <v>0.27629999999999999</v>
      </c>
      <c r="F56" s="9">
        <f>D56-E56</f>
        <v>4.0559999999999985E-2</v>
      </c>
      <c r="G56" s="15">
        <f>F56*D56</f>
        <v>1.2851841599999993E-2</v>
      </c>
      <c r="H56" s="9">
        <f>VLOOKUP(A56,Odds!A26:I26,5,FALSE)</f>
        <v>5.1700000000000003E-2</v>
      </c>
      <c r="I56" s="9">
        <f>VLOOKUP(A56,'Yahoo WPW'!A26:I26,5,FALSE)</f>
        <v>5.4300000000000001E-2</v>
      </c>
      <c r="J56" s="9">
        <f>H56-I56</f>
        <v>-2.5999999999999981E-3</v>
      </c>
      <c r="K56" s="15">
        <f>J56*H56</f>
        <v>-1.3441999999999992E-4</v>
      </c>
      <c r="L56" s="9">
        <f>VLOOKUP(A56,Odds!A26:I26,6,FALSE)</f>
        <v>2.1180000000000001E-2</v>
      </c>
      <c r="M56" s="9">
        <f>VLOOKUP(A56,'Yahoo WPW'!A26:I26,6,FALSE)</f>
        <v>2.4199999999999999E-2</v>
      </c>
      <c r="N56" s="9">
        <f>L56-M56</f>
        <v>-3.0199999999999984E-3</v>
      </c>
      <c r="O56" s="15">
        <f>N56*L56</f>
        <v>-6.3963599999999971E-5</v>
      </c>
      <c r="P56" s="9">
        <f>VLOOKUP(A56,Odds!A26:I26,7,FALSE)</f>
        <v>7.5100000000000002E-3</v>
      </c>
      <c r="Q56" s="9">
        <f>VLOOKUP(A56,'Yahoo WPW'!A26:I26,7,FALSE)</f>
        <v>1.04E-2</v>
      </c>
      <c r="R56" s="9">
        <f>P56-Q56</f>
        <v>-2.8899999999999993E-3</v>
      </c>
      <c r="S56" s="15">
        <f>R56*P56</f>
        <v>-2.1703899999999994E-5</v>
      </c>
      <c r="T56" s="9">
        <f>VLOOKUP(A56,Odds!A26:I26,8,FALSE)</f>
        <v>2.0600000000000002E-3</v>
      </c>
      <c r="U56" s="9">
        <f>VLOOKUP(A56,'Yahoo WPW'!A26:I26,8,FALSE)</f>
        <v>6.4000000000000003E-3</v>
      </c>
      <c r="V56" s="9">
        <f>T56-U56</f>
        <v>-4.3400000000000001E-3</v>
      </c>
      <c r="W56" s="15">
        <f>V56*T56</f>
        <v>-8.9404000000000017E-6</v>
      </c>
      <c r="X56" s="9">
        <f>VLOOKUP(A56,Odds!A26:I26,9,FALSE)</f>
        <v>4.6999999999999999E-4</v>
      </c>
      <c r="Y56" s="9">
        <f>VLOOKUP(A56,'Yahoo WPW'!A26:I26,9,FALSE)</f>
        <v>4.5999999999999999E-3</v>
      </c>
      <c r="Z56" s="9">
        <f>X56-Y56</f>
        <v>-4.13E-3</v>
      </c>
      <c r="AA56" s="15">
        <f>Z56*X56</f>
        <v>-1.9410999999999999E-6</v>
      </c>
      <c r="AB56" s="16"/>
    </row>
    <row r="57" spans="1:28" ht="13" x14ac:dyDescent="0.15">
      <c r="A57" s="5" t="s">
        <v>52</v>
      </c>
      <c r="B57" s="5">
        <v>7</v>
      </c>
      <c r="C57" s="5" t="s">
        <v>14</v>
      </c>
      <c r="D57" s="8">
        <f>VLOOKUP(A57,Odds!A24:I24,4,FALSE)</f>
        <v>0.56032000000000004</v>
      </c>
      <c r="E57" s="9">
        <f>VLOOKUP(A57,'Yahoo WPW'!A24:I24,4,FALSE)</f>
        <v>0.65259999999999996</v>
      </c>
      <c r="F57" s="9">
        <f>D57-E57</f>
        <v>-9.2279999999999918E-2</v>
      </c>
      <c r="G57" s="15">
        <f>F57*D57</f>
        <v>-5.1706329599999955E-2</v>
      </c>
      <c r="H57" s="9">
        <f>VLOOKUP(A57,Odds!A24:I24,5,FALSE)</f>
        <v>0.16852</v>
      </c>
      <c r="I57" s="9">
        <f>VLOOKUP(A57,'Yahoo WPW'!A24:I24,5,FALSE)</f>
        <v>0.1547</v>
      </c>
      <c r="J57" s="9">
        <f>H57-I57</f>
        <v>1.3819999999999999E-2</v>
      </c>
      <c r="K57" s="15">
        <f>J57*H57</f>
        <v>2.3289463999999998E-3</v>
      </c>
      <c r="L57" s="9">
        <f>VLOOKUP(A57,Odds!A24:I24,6,FALSE)</f>
        <v>7.9549999999999996E-2</v>
      </c>
      <c r="M57" s="9">
        <f>VLOOKUP(A57,'Yahoo WPW'!A24:I24,6,FALSE)</f>
        <v>4.7600000000000003E-2</v>
      </c>
      <c r="N57" s="9">
        <f>L57-M57</f>
        <v>3.1949999999999992E-2</v>
      </c>
      <c r="O57" s="15">
        <f>N57*L57</f>
        <v>2.5416224999999992E-3</v>
      </c>
      <c r="P57" s="9">
        <f>VLOOKUP(A57,Odds!A24:I24,7,FALSE)</f>
        <v>1.9789999999999999E-2</v>
      </c>
      <c r="Q57" s="9">
        <f>VLOOKUP(A57,'Yahoo WPW'!A24:I24,7,FALSE)</f>
        <v>1.9400000000000001E-2</v>
      </c>
      <c r="R57" s="9">
        <f>P57-Q57</f>
        <v>3.8999999999999799E-4</v>
      </c>
      <c r="S57" s="15">
        <f>R57*P57</f>
        <v>7.7180999999999592E-6</v>
      </c>
      <c r="T57" s="9">
        <f>VLOOKUP(A57,Odds!A24:I24,8,FALSE)</f>
        <v>5.2599999999999999E-3</v>
      </c>
      <c r="U57" s="9">
        <f>VLOOKUP(A57,'Yahoo WPW'!A24:I24,8,FALSE)</f>
        <v>6.4000000000000003E-3</v>
      </c>
      <c r="V57" s="9">
        <f>T57-U57</f>
        <v>-1.1400000000000004E-3</v>
      </c>
      <c r="W57" s="15">
        <f>V57*T57</f>
        <v>-5.9964000000000016E-6</v>
      </c>
      <c r="X57" s="9">
        <f>VLOOKUP(A57,Odds!A24:I24,9,FALSE)</f>
        <v>1.24E-3</v>
      </c>
      <c r="Y57" s="9">
        <f>VLOOKUP(A57,'Yahoo WPW'!A24:I24,9,FALSE)</f>
        <v>3.7000000000000002E-3</v>
      </c>
      <c r="Z57" s="9">
        <f>X57-Y57</f>
        <v>-2.4600000000000004E-3</v>
      </c>
      <c r="AA57" s="15">
        <f>Z57*X57</f>
        <v>-3.0504000000000005E-6</v>
      </c>
      <c r="AB57" s="16"/>
    </row>
    <row r="58" spans="1:28" ht="13" x14ac:dyDescent="0.15">
      <c r="A58" s="5" t="s">
        <v>43</v>
      </c>
      <c r="B58" s="5">
        <v>5</v>
      </c>
      <c r="C58" s="5" t="s">
        <v>18</v>
      </c>
      <c r="D58" s="8">
        <f>VLOOKUP(A58,Odds!A6:I6,4,FALSE)</f>
        <v>0.61436999999999997</v>
      </c>
      <c r="E58" s="9">
        <f>VLOOKUP(A58,'Yahoo WPW'!A6:I6,4,FALSE)</f>
        <v>0.79869999999999997</v>
      </c>
      <c r="F58" s="9">
        <f>D58-E58</f>
        <v>-0.18432999999999999</v>
      </c>
      <c r="G58" s="15">
        <f>F58*D58</f>
        <v>-0.11324682209999999</v>
      </c>
      <c r="H58" s="9">
        <f>VLOOKUP(A58,Odds!A6:I6,5,FALSE)</f>
        <v>0.26630999999999999</v>
      </c>
      <c r="I58" s="9">
        <f>VLOOKUP(A58,'Yahoo WPW'!A6:I6,5,FALSE)</f>
        <v>0.37109999999999999</v>
      </c>
      <c r="J58" s="9">
        <f>H58-I58</f>
        <v>-0.10478999999999999</v>
      </c>
      <c r="K58" s="15">
        <f>J58*H58</f>
        <v>-2.7906624899999996E-2</v>
      </c>
      <c r="L58" s="9">
        <f>VLOOKUP(A58,Odds!A6:I6,6,FALSE)</f>
        <v>7.0220000000000005E-2</v>
      </c>
      <c r="M58" s="9">
        <f>VLOOKUP(A58,'Yahoo WPW'!A6:I6,6,FALSE)</f>
        <v>5.33E-2</v>
      </c>
      <c r="N58" s="9">
        <f>L58-M58</f>
        <v>1.6920000000000004E-2</v>
      </c>
      <c r="O58" s="15">
        <f>N58*L58</f>
        <v>1.1881224000000004E-3</v>
      </c>
      <c r="P58" s="9">
        <f>VLOOKUP(A58,Odds!A6:I6,7,FALSE)</f>
        <v>2.6880000000000001E-2</v>
      </c>
      <c r="Q58" s="9">
        <f>VLOOKUP(A58,'Yahoo WPW'!A6:I6,7,FALSE)</f>
        <v>2.1899999999999999E-2</v>
      </c>
      <c r="R58" s="9">
        <f>P58-Q58</f>
        <v>4.9800000000000018E-3</v>
      </c>
      <c r="S58" s="15">
        <f>R58*P58</f>
        <v>1.3386240000000006E-4</v>
      </c>
      <c r="T58" s="9">
        <f>VLOOKUP(A58,Odds!A6:I6,8,FALSE)</f>
        <v>8.2199999999999999E-3</v>
      </c>
      <c r="U58" s="9">
        <f>VLOOKUP(A58,'Yahoo WPW'!A6:I6,8,FALSE)</f>
        <v>8.8999999999999999E-3</v>
      </c>
      <c r="V58" s="9">
        <f>T58-U58</f>
        <v>-6.8000000000000005E-4</v>
      </c>
      <c r="W58" s="15">
        <f>V58*T58</f>
        <v>-5.5896000000000007E-6</v>
      </c>
      <c r="X58" s="9">
        <f>VLOOKUP(A58,Odds!A6:I6,9,FALSE)</f>
        <v>2.2300000000000002E-3</v>
      </c>
      <c r="Y58" s="9">
        <f>VLOOKUP(A58,'Yahoo WPW'!A6:I6,9,FALSE)</f>
        <v>4.1999999999999997E-3</v>
      </c>
      <c r="Z58" s="9">
        <f>X58-Y58</f>
        <v>-1.9699999999999995E-3</v>
      </c>
      <c r="AA58" s="15">
        <f>Z58*X58</f>
        <v>-4.3930999999999995E-6</v>
      </c>
      <c r="AB58" s="16"/>
    </row>
    <row r="59" spans="1:28" ht="13" x14ac:dyDescent="0.15">
      <c r="A59" s="5" t="s">
        <v>47</v>
      </c>
      <c r="B59" s="5">
        <v>4</v>
      </c>
      <c r="C59" s="5" t="s">
        <v>14</v>
      </c>
      <c r="D59" s="8">
        <f>VLOOKUP(A59,Odds!A21:I21,4,FALSE)</f>
        <v>0.68357999999999997</v>
      </c>
      <c r="E59" s="9">
        <f>VLOOKUP(A59,'Yahoo WPW'!A21:I21,4,FALSE)</f>
        <v>0.82350000000000001</v>
      </c>
      <c r="F59" s="9">
        <f>D59-E59</f>
        <v>-0.13992000000000004</v>
      </c>
      <c r="G59" s="15">
        <f>F59*D59</f>
        <v>-9.5646513600000024E-2</v>
      </c>
      <c r="H59" s="9">
        <f>VLOOKUP(A59,Odds!A21:I21,5,FALSE)</f>
        <v>0.29803000000000002</v>
      </c>
      <c r="I59" s="9">
        <f>VLOOKUP(A59,'Yahoo WPW'!A21:I21,5,FALSE)</f>
        <v>0.40039999999999998</v>
      </c>
      <c r="J59" s="9">
        <f>H59-I59</f>
        <v>-0.10236999999999996</v>
      </c>
      <c r="K59" s="15">
        <f>J59*H59</f>
        <v>-3.0509331099999992E-2</v>
      </c>
      <c r="L59" s="9">
        <f>VLOOKUP(A59,Odds!A21:I21,6,FALSE)</f>
        <v>6.8599999999999994E-2</v>
      </c>
      <c r="M59" s="9">
        <f>VLOOKUP(A59,'Yahoo WPW'!A21:I21,6,FALSE)</f>
        <v>9.8299999999999998E-2</v>
      </c>
      <c r="N59" s="9">
        <f>L59-M59</f>
        <v>-2.9700000000000004E-2</v>
      </c>
      <c r="O59" s="15">
        <f>N59*L59</f>
        <v>-2.0374200000000003E-3</v>
      </c>
      <c r="P59" s="9">
        <f>VLOOKUP(A59,Odds!A21:I21,7,FALSE)</f>
        <v>2.708E-2</v>
      </c>
      <c r="Q59" s="9">
        <f>VLOOKUP(A59,'Yahoo WPW'!A21:I21,7,FALSE)</f>
        <v>3.4500000000000003E-2</v>
      </c>
      <c r="R59" s="9">
        <f>P59-Q59</f>
        <v>-7.420000000000003E-3</v>
      </c>
      <c r="S59" s="15">
        <f>R59*P59</f>
        <v>-2.0093360000000008E-4</v>
      </c>
      <c r="T59" s="9">
        <f>VLOOKUP(A59,Odds!A21:I21,8,FALSE)</f>
        <v>7.4999999999999997E-3</v>
      </c>
      <c r="U59" s="9">
        <f>VLOOKUP(A59,'Yahoo WPW'!A21:I21,8,FALSE)</f>
        <v>1.17E-2</v>
      </c>
      <c r="V59" s="9">
        <f>T59-U59</f>
        <v>-4.2000000000000006E-3</v>
      </c>
      <c r="W59" s="15">
        <f>V59*T59</f>
        <v>-3.1500000000000007E-5</v>
      </c>
      <c r="X59" s="9">
        <f>VLOOKUP(A59,Odds!A21:I21,9,FALSE)</f>
        <v>1.9499999999999999E-3</v>
      </c>
      <c r="Y59" s="9">
        <f>VLOOKUP(A59,'Yahoo WPW'!A21:I21,9,FALSE)</f>
        <v>5.5999999999999999E-3</v>
      </c>
      <c r="Z59" s="9">
        <f>X59-Y59</f>
        <v>-3.65E-3</v>
      </c>
      <c r="AA59" s="15">
        <f>Z59*X59</f>
        <v>-7.1175E-6</v>
      </c>
      <c r="AB59" s="16"/>
    </row>
    <row r="60" spans="1:28" ht="13" x14ac:dyDescent="0.15">
      <c r="A60" s="5" t="s">
        <v>34</v>
      </c>
      <c r="B60" s="5">
        <v>8</v>
      </c>
      <c r="C60" s="5" t="s">
        <v>16</v>
      </c>
      <c r="D60" s="8">
        <f>VLOOKUP(A60,Odds!A57:I57,4,FALSE)</f>
        <v>0.68037999999999998</v>
      </c>
      <c r="E60" s="9">
        <f>VLOOKUP(A60,'Yahoo WPW'!A57:I57,4,FALSE)</f>
        <v>0.67449999999999999</v>
      </c>
      <c r="F60" s="9">
        <f>D60-E60</f>
        <v>5.8799999999999963E-3</v>
      </c>
      <c r="G60" s="15">
        <f>F60*D60</f>
        <v>4.0006343999999978E-3</v>
      </c>
      <c r="H60" s="9">
        <f>VLOOKUP(A60,Odds!A57:I57,5,FALSE)</f>
        <v>0.1802</v>
      </c>
      <c r="I60" s="9">
        <f>VLOOKUP(A60,'Yahoo WPW'!A57:I57,5,FALSE)</f>
        <v>0.1055</v>
      </c>
      <c r="J60" s="9">
        <f>H60-I60</f>
        <v>7.4700000000000003E-2</v>
      </c>
      <c r="K60" s="15">
        <f>J60*H60</f>
        <v>1.3460940000000001E-2</v>
      </c>
      <c r="L60" s="9">
        <f>VLOOKUP(A60,Odds!A57:I57,6,FALSE)</f>
        <v>9.1420000000000001E-2</v>
      </c>
      <c r="M60" s="9">
        <f>VLOOKUP(A60,'Yahoo WPW'!A57:I57,6,FALSE)</f>
        <v>7.0099999999999996E-2</v>
      </c>
      <c r="N60" s="9">
        <f>L60-M60</f>
        <v>2.1320000000000006E-2</v>
      </c>
      <c r="O60" s="15">
        <f>N60*L60</f>
        <v>1.9490744000000006E-3</v>
      </c>
      <c r="P60" s="9">
        <f>VLOOKUP(A60,Odds!A57:I57,7,FALSE)</f>
        <v>3.8980000000000001E-2</v>
      </c>
      <c r="Q60" s="9">
        <f>VLOOKUP(A60,'Yahoo WPW'!A57:I57,7,FALSE)</f>
        <v>2.9700000000000001E-2</v>
      </c>
      <c r="R60" s="9">
        <f>P60-Q60</f>
        <v>9.2800000000000001E-3</v>
      </c>
      <c r="S60" s="15">
        <f>R60*P60</f>
        <v>3.6173440000000003E-4</v>
      </c>
      <c r="T60" s="9">
        <f>VLOOKUP(A60,Odds!A57:I57,8,FALSE)</f>
        <v>1.6990000000000002E-2</v>
      </c>
      <c r="U60" s="9">
        <f>VLOOKUP(A60,'Yahoo WPW'!A57:I57,8,FALSE)</f>
        <v>1.6E-2</v>
      </c>
      <c r="V60" s="9">
        <f>T60-U60</f>
        <v>9.900000000000013E-4</v>
      </c>
      <c r="W60" s="15">
        <f>V60*T60</f>
        <v>1.6820100000000022E-5</v>
      </c>
      <c r="X60" s="9">
        <f>VLOOKUP(A60,Odds!A57:I57,9,FALSE)</f>
        <v>6.3800000000000003E-3</v>
      </c>
      <c r="Y60" s="9">
        <f>VLOOKUP(A60,'Yahoo WPW'!A57:I57,9,FALSE)</f>
        <v>7.6E-3</v>
      </c>
      <c r="Z60" s="9">
        <f>X60-Y60</f>
        <v>-1.2199999999999997E-3</v>
      </c>
      <c r="AA60" s="15">
        <f>Z60*X60</f>
        <v>-7.7835999999999978E-6</v>
      </c>
      <c r="AB60" s="16"/>
    </row>
    <row r="61" spans="1:28" ht="13" x14ac:dyDescent="0.15">
      <c r="A61" s="5" t="s">
        <v>53</v>
      </c>
      <c r="B61" s="5">
        <v>7</v>
      </c>
      <c r="C61" s="5" t="s">
        <v>16</v>
      </c>
      <c r="D61" s="8">
        <f>VLOOKUP(A61,Odds!A56:I56,4,FALSE)</f>
        <v>0.57264000000000004</v>
      </c>
      <c r="E61" s="9">
        <f>VLOOKUP(A61,'Yahoo WPW'!A56:I56,4,FALSE)</f>
        <v>0.62470000000000003</v>
      </c>
      <c r="F61" s="9">
        <f>D61-E61</f>
        <v>-5.2059999999999995E-2</v>
      </c>
      <c r="G61" s="15">
        <f>F61*D61</f>
        <v>-2.98116384E-2</v>
      </c>
      <c r="H61" s="9">
        <f>VLOOKUP(A61,Odds!A56:I56,5,FALSE)</f>
        <v>0.14935999999999999</v>
      </c>
      <c r="I61" s="9">
        <f>VLOOKUP(A61,'Yahoo WPW'!A56:I56,5,FALSE)</f>
        <v>0.23180000000000001</v>
      </c>
      <c r="J61" s="9">
        <f>H61-I61</f>
        <v>-8.2440000000000013E-2</v>
      </c>
      <c r="K61" s="15">
        <f>J61*H61</f>
        <v>-1.2313238400000001E-2</v>
      </c>
      <c r="L61" s="9">
        <f>VLOOKUP(A61,Odds!A56:I56,6,FALSE)</f>
        <v>5.9240000000000001E-2</v>
      </c>
      <c r="M61" s="9">
        <f>VLOOKUP(A61,'Yahoo WPW'!A56:I56,6,FALSE)</f>
        <v>0.1075</v>
      </c>
      <c r="N61" s="9">
        <f>L61-M61</f>
        <v>-4.8259999999999997E-2</v>
      </c>
      <c r="O61" s="15">
        <f>N61*L61</f>
        <v>-2.8589224E-3</v>
      </c>
      <c r="P61" s="9">
        <f>VLOOKUP(A61,Odds!A56:I56,7,FALSE)</f>
        <v>1.5049999999999999E-2</v>
      </c>
      <c r="Q61" s="9">
        <f>VLOOKUP(A61,'Yahoo WPW'!A56:I56,7,FALSE)</f>
        <v>3.7600000000000001E-2</v>
      </c>
      <c r="R61" s="9">
        <f>P61-Q61</f>
        <v>-2.2550000000000001E-2</v>
      </c>
      <c r="S61" s="15">
        <f>R61*P61</f>
        <v>-3.3937749999999998E-4</v>
      </c>
      <c r="T61" s="9">
        <f>VLOOKUP(A61,Odds!A56:I56,8,FALSE)</f>
        <v>4.5100000000000001E-3</v>
      </c>
      <c r="U61" s="9">
        <f>VLOOKUP(A61,'Yahoo WPW'!A56:I56,8,FALSE)</f>
        <v>2.01E-2</v>
      </c>
      <c r="V61" s="9">
        <f>T61-U61</f>
        <v>-1.559E-2</v>
      </c>
      <c r="W61" s="15">
        <f>V61*T61</f>
        <v>-7.0310900000000005E-5</v>
      </c>
      <c r="X61" s="9">
        <f>VLOOKUP(A61,Odds!A56:I56,9,FALSE)</f>
        <v>1.17E-3</v>
      </c>
      <c r="Y61" s="9">
        <f>VLOOKUP(A61,'Yahoo WPW'!A56:I56,9,FALSE)</f>
        <v>1.0699999999999999E-2</v>
      </c>
      <c r="Z61" s="9">
        <f>X61-Y61</f>
        <v>-9.5300000000000003E-3</v>
      </c>
      <c r="AA61" s="15">
        <f>Z61*X61</f>
        <v>-1.11501E-5</v>
      </c>
      <c r="AB61" s="16"/>
    </row>
    <row r="62" spans="1:28" ht="13" x14ac:dyDescent="0.15">
      <c r="A62" s="5" t="s">
        <v>37</v>
      </c>
      <c r="B62" s="5">
        <v>5</v>
      </c>
      <c r="C62" s="5" t="s">
        <v>20</v>
      </c>
      <c r="D62" s="8">
        <f>VLOOKUP(A62,Odds!A38:I38,4,FALSE)</f>
        <v>0.55561000000000005</v>
      </c>
      <c r="E62" s="9">
        <f>VLOOKUP(A62,'Yahoo WPW'!A38:I38,4,FALSE)</f>
        <v>0.79320000000000002</v>
      </c>
      <c r="F62" s="9">
        <f>D62-E62</f>
        <v>-0.23758999999999997</v>
      </c>
      <c r="G62" s="15">
        <f>F62*D62</f>
        <v>-0.1320073799</v>
      </c>
      <c r="H62" s="9">
        <f>VLOOKUP(A62,Odds!A38:I38,5,FALSE)</f>
        <v>0.31742999999999999</v>
      </c>
      <c r="I62" s="9">
        <f>VLOOKUP(A62,'Yahoo WPW'!A38:I38,5,FALSE)</f>
        <v>0.50360000000000005</v>
      </c>
      <c r="J62" s="9">
        <f>H62-I62</f>
        <v>-0.18617000000000006</v>
      </c>
      <c r="K62" s="15">
        <f>J62*H62</f>
        <v>-5.9095943100000013E-2</v>
      </c>
      <c r="L62" s="9">
        <f>VLOOKUP(A62,Odds!A38:I38,6,FALSE)</f>
        <v>0.1055</v>
      </c>
      <c r="M62" s="9">
        <f>VLOOKUP(A62,'Yahoo WPW'!A38:I38,6,FALSE)</f>
        <v>0.121</v>
      </c>
      <c r="N62" s="9">
        <f>L62-M62</f>
        <v>-1.55E-2</v>
      </c>
      <c r="O62" s="15">
        <f>N62*L62</f>
        <v>-1.63525E-3</v>
      </c>
      <c r="P62" s="9">
        <f>VLOOKUP(A62,Odds!A38:I38,7,FALSE)</f>
        <v>4.4110000000000003E-2</v>
      </c>
      <c r="Q62" s="9">
        <f>VLOOKUP(A62,'Yahoo WPW'!A38:I38,7,FALSE)</f>
        <v>5.3199999999999997E-2</v>
      </c>
      <c r="R62" s="9">
        <f>P62-Q62</f>
        <v>-9.0899999999999939E-3</v>
      </c>
      <c r="S62" s="15">
        <f>R62*P62</f>
        <v>-4.0095989999999976E-4</v>
      </c>
      <c r="T62" s="9">
        <f>VLOOKUP(A62,Odds!A38:I38,8,FALSE)</f>
        <v>1.3729999999999999E-2</v>
      </c>
      <c r="U62" s="9">
        <f>VLOOKUP(A62,'Yahoo WPW'!A38:I38,8,FALSE)</f>
        <v>2.3900000000000001E-2</v>
      </c>
      <c r="V62" s="9">
        <f>T62-U62</f>
        <v>-1.0170000000000002E-2</v>
      </c>
      <c r="W62" s="15">
        <f>V62*T62</f>
        <v>-1.3963410000000001E-4</v>
      </c>
      <c r="X62" s="9">
        <f>VLOOKUP(A62,Odds!A38:I38,9,FALSE)</f>
        <v>4.1399999999999996E-3</v>
      </c>
      <c r="Y62" s="9">
        <f>VLOOKUP(A62,'Yahoo WPW'!A38:I38,9,FALSE)</f>
        <v>1.1599999999999999E-2</v>
      </c>
      <c r="Z62" s="9">
        <f>X62-Y62</f>
        <v>-7.4599999999999996E-3</v>
      </c>
      <c r="AA62" s="15">
        <f>Z62*X62</f>
        <v>-3.0884399999999999E-5</v>
      </c>
      <c r="AB62" s="16"/>
    </row>
    <row r="63" spans="1:28" ht="13" x14ac:dyDescent="0.15">
      <c r="A63" s="5" t="s">
        <v>42</v>
      </c>
      <c r="B63" s="5">
        <v>3</v>
      </c>
      <c r="C63" s="5" t="s">
        <v>14</v>
      </c>
      <c r="D63" s="8">
        <f>VLOOKUP(A63,Odds!A20:I20,4,FALSE)</f>
        <v>0.75882000000000005</v>
      </c>
      <c r="E63" s="9">
        <f>VLOOKUP(A63,'Yahoo WPW'!A20:I20,4,FALSE)</f>
        <v>0.92090000000000005</v>
      </c>
      <c r="F63" s="9">
        <f>D63-E63</f>
        <v>-0.16208</v>
      </c>
      <c r="G63" s="15">
        <f>F63*D63</f>
        <v>-0.12298954560000001</v>
      </c>
      <c r="H63" s="9">
        <f>VLOOKUP(A63,Odds!A20:I20,5,FALSE)</f>
        <v>0.35765000000000002</v>
      </c>
      <c r="I63" s="9">
        <f>VLOOKUP(A63,'Yahoo WPW'!A20:I20,5,FALSE)</f>
        <v>0.63739999999999997</v>
      </c>
      <c r="J63" s="9">
        <f>H63-I63</f>
        <v>-0.27974999999999994</v>
      </c>
      <c r="K63" s="15">
        <f>J63*H63</f>
        <v>-0.10005258749999998</v>
      </c>
      <c r="L63" s="9">
        <f>VLOOKUP(A63,Odds!A20:I20,6,FALSE)</f>
        <v>0.13216</v>
      </c>
      <c r="M63" s="9">
        <f>VLOOKUP(A63,'Yahoo WPW'!A20:I20,6,FALSE)</f>
        <v>0.252</v>
      </c>
      <c r="N63" s="9">
        <f>L63-M63</f>
        <v>-0.11984</v>
      </c>
      <c r="O63" s="15">
        <f>N63*L63</f>
        <v>-1.5838054399999999E-2</v>
      </c>
      <c r="P63" s="9">
        <f>VLOOKUP(A63,Odds!A20:I20,7,FALSE)</f>
        <v>3.5680000000000003E-2</v>
      </c>
      <c r="Q63" s="9">
        <f>VLOOKUP(A63,'Yahoo WPW'!A20:I20,7,FALSE)</f>
        <v>0.1205</v>
      </c>
      <c r="R63" s="9">
        <f>P63-Q63</f>
        <v>-8.4819999999999993E-2</v>
      </c>
      <c r="S63" s="15">
        <f>R63*P63</f>
        <v>-3.0263776E-3</v>
      </c>
      <c r="T63" s="9">
        <f>VLOOKUP(A63,Odds!A20:I20,8,FALSE)</f>
        <v>1.038E-2</v>
      </c>
      <c r="U63" s="9">
        <f>VLOOKUP(A63,'Yahoo WPW'!A20:I20,8,FALSE)</f>
        <v>4.4600000000000001E-2</v>
      </c>
      <c r="V63" s="9">
        <f>T63-U63</f>
        <v>-3.422E-2</v>
      </c>
      <c r="W63" s="15">
        <f>V63*T63</f>
        <v>-3.552036E-4</v>
      </c>
      <c r="X63" s="9">
        <f>VLOOKUP(A63,Odds!A20:I20,9,FALSE)</f>
        <v>2.65E-3</v>
      </c>
      <c r="Y63" s="9">
        <f>VLOOKUP(A63,'Yahoo WPW'!A20:I20,9,FALSE)</f>
        <v>1.9099999999999999E-2</v>
      </c>
      <c r="Z63" s="9">
        <f>X63-Y63</f>
        <v>-1.6449999999999999E-2</v>
      </c>
      <c r="AA63" s="15">
        <f>Z63*X63</f>
        <v>-4.35925E-5</v>
      </c>
      <c r="AB63" s="16"/>
    </row>
    <row r="64" spans="1:28" ht="13" x14ac:dyDescent="0.15">
      <c r="A64" s="5" t="s">
        <v>15</v>
      </c>
      <c r="B64" s="5">
        <v>1</v>
      </c>
      <c r="C64" s="5" t="s">
        <v>16</v>
      </c>
      <c r="D64" s="8">
        <f>VLOOKUP(A64,Odds!A50:I50,4,FALSE)</f>
        <v>0.97219999999999995</v>
      </c>
      <c r="E64" s="9">
        <f>VLOOKUP(A64,'Yahoo WPW'!A50:I50,4,FALSE)</f>
        <v>0.96379999999999999</v>
      </c>
      <c r="F64" s="9">
        <f>D64-E64</f>
        <v>8.3999999999999631E-3</v>
      </c>
      <c r="G64" s="15">
        <f>F64*D64</f>
        <v>8.1664799999999638E-3</v>
      </c>
      <c r="H64" s="9">
        <f>VLOOKUP(A64,Odds!A50:I50,5,FALSE)</f>
        <v>0.76837999999999995</v>
      </c>
      <c r="I64" s="9">
        <f>VLOOKUP(A64,'Yahoo WPW'!A50:I50,5,FALSE)</f>
        <v>0.84250000000000003</v>
      </c>
      <c r="J64" s="9">
        <f>H64-I64</f>
        <v>-7.4120000000000075E-2</v>
      </c>
      <c r="K64" s="15">
        <f>J64*H64</f>
        <v>-5.6952325600000055E-2</v>
      </c>
      <c r="L64" s="9">
        <f>VLOOKUP(A64,Odds!A50:I50,6,FALSE)</f>
        <v>0.57887</v>
      </c>
      <c r="M64" s="9">
        <f>VLOOKUP(A64,'Yahoo WPW'!A50:I50,6,FALSE)</f>
        <v>0.74009999999999998</v>
      </c>
      <c r="N64" s="9">
        <f>L64-M64</f>
        <v>-0.16122999999999998</v>
      </c>
      <c r="O64" s="15">
        <f>N64*L64</f>
        <v>-9.3331210099999992E-2</v>
      </c>
      <c r="P64" s="9">
        <f>VLOOKUP(A64,Odds!A50:I50,7,FALSE)</f>
        <v>0.39517999999999998</v>
      </c>
      <c r="Q64" s="9">
        <f>VLOOKUP(A64,'Yahoo WPW'!A50:I50,7,FALSE)</f>
        <v>0.54649999999999999</v>
      </c>
      <c r="R64" s="9">
        <f>P64-Q64</f>
        <v>-0.15132000000000001</v>
      </c>
      <c r="S64" s="15">
        <f>R64*P64</f>
        <v>-5.9798637600000003E-2</v>
      </c>
      <c r="T64" s="9">
        <f>VLOOKUP(A64,Odds!A50:I50,8,FALSE)</f>
        <v>0.26633000000000001</v>
      </c>
      <c r="U64" s="9">
        <f>VLOOKUP(A64,'Yahoo WPW'!A50:I50,8,FALSE)</f>
        <v>0.31690000000000002</v>
      </c>
      <c r="V64" s="9">
        <f>T64-U64</f>
        <v>-5.0570000000000004E-2</v>
      </c>
      <c r="W64" s="15">
        <f>V64*T64</f>
        <v>-1.3468308100000001E-2</v>
      </c>
      <c r="X64" s="9">
        <f>VLOOKUP(A64,Odds!A50:I50,9,FALSE)</f>
        <v>0.16288</v>
      </c>
      <c r="Y64" s="9">
        <f>VLOOKUP(A64,'Yahoo WPW'!A50:I50,9,FALSE)</f>
        <v>0.1741</v>
      </c>
      <c r="Z64" s="9">
        <f>X64-Y64</f>
        <v>-1.1220000000000008E-2</v>
      </c>
      <c r="AA64" s="15">
        <f>Z64*X64</f>
        <v>-1.8275136000000013E-3</v>
      </c>
      <c r="AB64" s="16"/>
    </row>
    <row r="65" spans="1:28" ht="13" x14ac:dyDescent="0.15">
      <c r="A65" s="5" t="s">
        <v>19</v>
      </c>
      <c r="B65" s="5">
        <v>1</v>
      </c>
      <c r="C65" s="5" t="s">
        <v>20</v>
      </c>
      <c r="D65" s="8">
        <f>VLOOKUP(A65,Odds!A34:I34,4,FALSE)</f>
        <v>0.98387000000000002</v>
      </c>
      <c r="E65" s="9">
        <f>VLOOKUP(A65,'Yahoo WPW'!A34:I34,4,FALSE)</f>
        <v>0.98099999999999998</v>
      </c>
      <c r="F65" s="9">
        <f>D65-E65</f>
        <v>2.8700000000000392E-3</v>
      </c>
      <c r="G65" s="15">
        <f>F65*D65</f>
        <v>2.8237069000000385E-3</v>
      </c>
      <c r="H65" s="9">
        <f>VLOOKUP(A65,Odds!A34:I34,5,FALSE)</f>
        <v>0.69521999999999995</v>
      </c>
      <c r="I65" s="9">
        <f>VLOOKUP(A65,'Yahoo WPW'!A34:I34,5,FALSE)</f>
        <v>0.873</v>
      </c>
      <c r="J65" s="9">
        <f>H65-I65</f>
        <v>-0.17778000000000005</v>
      </c>
      <c r="K65" s="15">
        <f>J65*H65</f>
        <v>-0.12359621160000002</v>
      </c>
      <c r="L65" s="9">
        <f>VLOOKUP(A65,Odds!A34:I34,6,FALSE)</f>
        <v>0.52566999999999997</v>
      </c>
      <c r="M65" s="9">
        <f>VLOOKUP(A65,'Yahoo WPW'!A34:I34,6,FALSE)</f>
        <v>0.7248</v>
      </c>
      <c r="N65" s="9">
        <f>L65-M65</f>
        <v>-0.19913000000000003</v>
      </c>
      <c r="O65" s="15">
        <f>N65*L65</f>
        <v>-0.10467666710000001</v>
      </c>
      <c r="P65" s="9">
        <f>VLOOKUP(A65,Odds!A34:I34,7,FALSE)</f>
        <v>0.34022999999999998</v>
      </c>
      <c r="Q65" s="9">
        <f>VLOOKUP(A65,'Yahoo WPW'!A34:I34,7,FALSE)</f>
        <v>0.5181</v>
      </c>
      <c r="R65" s="9">
        <f>P65-Q65</f>
        <v>-0.17787000000000003</v>
      </c>
      <c r="S65" s="15">
        <f>R65*P65</f>
        <v>-6.0516710100000003E-2</v>
      </c>
      <c r="T65" s="9">
        <f>VLOOKUP(A65,Odds!A34:I34,8,FALSE)</f>
        <v>0.18085000000000001</v>
      </c>
      <c r="U65" s="9">
        <f>VLOOKUP(A65,'Yahoo WPW'!A34:I34,8,FALSE)</f>
        <v>0.27789999999999998</v>
      </c>
      <c r="V65" s="9">
        <f>T65-U65</f>
        <v>-9.704999999999997E-2</v>
      </c>
      <c r="W65" s="15">
        <f>V65*T65</f>
        <v>-1.7551492499999995E-2</v>
      </c>
      <c r="X65" s="9">
        <f>VLOOKUP(A65,Odds!A34:I34,9,FALSE)</f>
        <v>9.6329999999999999E-2</v>
      </c>
      <c r="Y65" s="9">
        <f>VLOOKUP(A65,'Yahoo WPW'!A34:I34,9,FALSE)</f>
        <v>0.14119999999999999</v>
      </c>
      <c r="Z65" s="9">
        <f>X65-Y65</f>
        <v>-4.4869999999999993E-2</v>
      </c>
      <c r="AA65" s="15">
        <f>Z65*X65</f>
        <v>-4.3223270999999995E-3</v>
      </c>
      <c r="AB65" s="16"/>
    </row>
    <row r="66" spans="1:28" ht="13" x14ac:dyDescent="0.15">
      <c r="A66" s="5" t="s">
        <v>17</v>
      </c>
      <c r="B66" s="5">
        <v>1</v>
      </c>
      <c r="C66" s="5" t="s">
        <v>18</v>
      </c>
      <c r="D66" s="8">
        <f>VLOOKUP(A66,Odds!A2:I2,4,FALSE)</f>
        <v>0.97121000000000002</v>
      </c>
      <c r="E66" s="9">
        <f>VLOOKUP(A66,'Yahoo WPW'!A2:I2,4,FALSE)</f>
        <v>0.96619999999999995</v>
      </c>
      <c r="F66" s="9">
        <f>D66-E66</f>
        <v>5.01000000000007E-3</v>
      </c>
      <c r="G66" s="15">
        <f>F66*D66</f>
        <v>4.8657621000000682E-3</v>
      </c>
      <c r="H66" s="9">
        <f>VLOOKUP(A66,Odds!A2:I2,5,FALSE)</f>
        <v>0.80250999999999995</v>
      </c>
      <c r="I66" s="9">
        <f>VLOOKUP(A66,'Yahoo WPW'!A2:I2,5,FALSE)</f>
        <v>0.9153</v>
      </c>
      <c r="J66" s="9">
        <f>H66-I66</f>
        <v>-0.11279000000000006</v>
      </c>
      <c r="K66" s="15">
        <f>J66*H66</f>
        <v>-9.0515102900000033E-2</v>
      </c>
      <c r="L66" s="9">
        <f>VLOOKUP(A66,Odds!A2:I2,6,FALSE)</f>
        <v>0.61207</v>
      </c>
      <c r="M66" s="9">
        <f>VLOOKUP(A66,'Yahoo WPW'!A2:I2,6,FALSE)</f>
        <v>0.80269999999999997</v>
      </c>
      <c r="N66" s="9">
        <f>L66-M66</f>
        <v>-0.19062999999999997</v>
      </c>
      <c r="O66" s="15">
        <f>N66*L66</f>
        <v>-0.11667890409999998</v>
      </c>
      <c r="P66" s="9">
        <f>VLOOKUP(A66,Odds!A2:I2,7,FALSE)</f>
        <v>0.43036999999999997</v>
      </c>
      <c r="Q66" s="9">
        <f>VLOOKUP(A66,'Yahoo WPW'!A2:I2,7,FALSE)</f>
        <v>0.64100000000000001</v>
      </c>
      <c r="R66" s="9">
        <f>P66-Q66</f>
        <v>-0.21063000000000004</v>
      </c>
      <c r="S66" s="15">
        <f>R66*P66</f>
        <v>-9.0648833100000006E-2</v>
      </c>
      <c r="T66" s="9">
        <f>VLOOKUP(A66,Odds!A2:I2,8,FALSE)</f>
        <v>0.25990000000000002</v>
      </c>
      <c r="U66" s="9">
        <f>VLOOKUP(A66,'Yahoo WPW'!A2:I2,8,FALSE)</f>
        <v>0.49359999999999998</v>
      </c>
      <c r="V66" s="9">
        <f>T66-U66</f>
        <v>-0.23369999999999996</v>
      </c>
      <c r="W66" s="15">
        <f>V66*T66</f>
        <v>-6.0738629999999995E-2</v>
      </c>
      <c r="X66" s="9">
        <f>VLOOKUP(A66,Odds!A2:I2,9,FALSE)</f>
        <v>0.15237000000000001</v>
      </c>
      <c r="Y66" s="9">
        <f>VLOOKUP(A66,'Yahoo WPW'!A2:I2,9,FALSE)</f>
        <v>0.28170000000000001</v>
      </c>
      <c r="Z66" s="9">
        <f>X66-Y66</f>
        <v>-0.12933</v>
      </c>
      <c r="AA66" s="15">
        <f>Z66*X66</f>
        <v>-1.97060121E-2</v>
      </c>
      <c r="AB66" s="16"/>
    </row>
  </sheetData>
  <autoFilter ref="A2:AA66" xr:uid="{00000000-0001-0000-0000-000000000000}">
    <sortState xmlns:xlrd2="http://schemas.microsoft.com/office/spreadsheetml/2017/richdata2" ref="A3:AA66">
      <sortCondition descending="1" ref="AA2:AA66"/>
    </sortState>
  </autoFilter>
  <mergeCells count="6">
    <mergeCell ref="X1:AA1"/>
    <mergeCell ref="D1:G1"/>
    <mergeCell ref="H1:K1"/>
    <mergeCell ref="L1:O1"/>
    <mergeCell ref="P1:S1"/>
    <mergeCell ref="T1:W1"/>
  </mergeCells>
  <conditionalFormatting sqref="C1:C66">
    <cfRule type="beginsWith" dxfId="3" priority="1" operator="beginsWith" text="E">
      <formula>LEFT((C1),LEN("E"))=("E")</formula>
    </cfRule>
    <cfRule type="beginsWith" dxfId="2" priority="2" operator="beginsWith" text="W">
      <formula>LEFT((C1),LEN("W"))=("W")</formula>
    </cfRule>
    <cfRule type="beginsWith" dxfId="1" priority="3" operator="beginsWith" text="S">
      <formula>LEFT((C1),LEN("S"))=("S")</formula>
    </cfRule>
    <cfRule type="beginsWith" dxfId="0" priority="4" operator="beginsWith" text="M">
      <formula>LEFT((C1),LEN("M"))=("M")</formula>
    </cfRule>
  </conditionalFormatting>
  <conditionalFormatting sqref="F2:G66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:K66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2:O66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:S66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:W66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Z2:AB66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5"/>
  <sheetViews>
    <sheetView defaultGridColor="0" colorId="9" workbookViewId="0">
      <selection activeCell="G23" sqref="G23"/>
    </sheetView>
  </sheetViews>
  <sheetFormatPr baseColWidth="10" defaultColWidth="12.6640625" defaultRowHeight="15.75" customHeight="1" x14ac:dyDescent="0.15"/>
  <cols>
    <col min="1" max="1" width="14" style="11" bestFit="1" customWidth="1"/>
    <col min="2" max="2" width="9.1640625" style="11" bestFit="1" customWidth="1"/>
    <col min="3" max="3" width="7.83203125" style="11" bestFit="1" customWidth="1"/>
    <col min="4" max="4" width="14.33203125" style="11" bestFit="1" customWidth="1"/>
    <col min="5" max="5" width="11.5" style="11" bestFit="1" customWidth="1"/>
    <col min="6" max="6" width="9" style="11" bestFit="1" customWidth="1"/>
    <col min="7" max="7" width="11.83203125" style="11" bestFit="1" customWidth="1"/>
    <col min="8" max="8" width="22.1640625" style="11" bestFit="1" customWidth="1"/>
    <col min="9" max="9" width="19" style="11" bestFit="1" customWidth="1"/>
    <col min="10" max="16384" width="12.6640625" style="11"/>
  </cols>
  <sheetData>
    <row r="1" spans="1:9" ht="15.75" customHeight="1" x14ac:dyDescent="0.15">
      <c r="A1" s="10" t="s">
        <v>0</v>
      </c>
      <c r="B1" s="10" t="s">
        <v>2</v>
      </c>
      <c r="C1" s="10" t="s">
        <v>1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85</v>
      </c>
      <c r="I1" s="10" t="s">
        <v>86</v>
      </c>
    </row>
    <row r="2" spans="1:9" ht="15.75" customHeight="1" x14ac:dyDescent="0.15">
      <c r="A2" s="10" t="s">
        <v>17</v>
      </c>
      <c r="B2" s="10" t="s">
        <v>18</v>
      </c>
      <c r="C2" s="10">
        <v>1</v>
      </c>
      <c r="D2" s="10">
        <v>0.97121000000000002</v>
      </c>
      <c r="E2" s="10">
        <v>0.80250999999999995</v>
      </c>
      <c r="F2" s="10">
        <v>0.61207</v>
      </c>
      <c r="G2" s="10">
        <v>0.43036999999999997</v>
      </c>
      <c r="H2" s="10">
        <v>0.25990000000000002</v>
      </c>
      <c r="I2" s="10">
        <v>0.15237000000000001</v>
      </c>
    </row>
    <row r="3" spans="1:9" ht="15.75" customHeight="1" x14ac:dyDescent="0.15">
      <c r="A3" s="10" t="s">
        <v>24</v>
      </c>
      <c r="B3" s="10" t="s">
        <v>18</v>
      </c>
      <c r="C3" s="10">
        <v>2</v>
      </c>
      <c r="D3" s="10">
        <v>0.90308999999999995</v>
      </c>
      <c r="E3" s="10">
        <v>0.59838999999999998</v>
      </c>
      <c r="F3" s="10">
        <v>0.37175000000000002</v>
      </c>
      <c r="G3" s="10">
        <v>0.17502000000000001</v>
      </c>
      <c r="H3" s="10">
        <v>8.2150000000000001E-2</v>
      </c>
      <c r="I3" s="10">
        <v>3.6630000000000003E-2</v>
      </c>
    </row>
    <row r="4" spans="1:9" ht="15.75" customHeight="1" x14ac:dyDescent="0.15">
      <c r="A4" s="10" t="s">
        <v>29</v>
      </c>
      <c r="B4" s="10" t="s">
        <v>18</v>
      </c>
      <c r="C4" s="10">
        <v>3</v>
      </c>
      <c r="D4" s="10">
        <v>0.88488</v>
      </c>
      <c r="E4" s="10">
        <v>0.48477999999999999</v>
      </c>
      <c r="F4" s="10">
        <v>0.22908000000000001</v>
      </c>
      <c r="G4" s="10">
        <v>8.8080000000000006E-2</v>
      </c>
      <c r="H4" s="10">
        <v>3.4029999999999998E-2</v>
      </c>
      <c r="I4" s="10">
        <v>1.209E-2</v>
      </c>
    </row>
    <row r="5" spans="1:9" ht="15.75" customHeight="1" x14ac:dyDescent="0.15">
      <c r="A5" s="10" t="s">
        <v>27</v>
      </c>
      <c r="B5" s="10" t="s">
        <v>18</v>
      </c>
      <c r="C5" s="10">
        <v>4</v>
      </c>
      <c r="D5" s="10">
        <v>0.85792000000000002</v>
      </c>
      <c r="E5" s="10">
        <v>0.56798999999999999</v>
      </c>
      <c r="F5" s="10">
        <v>0.20823</v>
      </c>
      <c r="G5" s="10">
        <v>0.10611</v>
      </c>
      <c r="H5" s="10">
        <v>4.2939999999999999E-2</v>
      </c>
      <c r="I5" s="10">
        <v>1.627E-2</v>
      </c>
    </row>
    <row r="6" spans="1:9" ht="15.75" customHeight="1" x14ac:dyDescent="0.15">
      <c r="A6" s="10" t="s">
        <v>43</v>
      </c>
      <c r="B6" s="10" t="s">
        <v>18</v>
      </c>
      <c r="C6" s="10">
        <v>5</v>
      </c>
      <c r="D6" s="10">
        <v>0.61436999999999997</v>
      </c>
      <c r="E6" s="10">
        <v>0.26630999999999999</v>
      </c>
      <c r="F6" s="10">
        <v>7.0220000000000005E-2</v>
      </c>
      <c r="G6" s="10">
        <v>2.6880000000000001E-2</v>
      </c>
      <c r="H6" s="10">
        <v>8.2199999999999999E-3</v>
      </c>
      <c r="I6" s="10">
        <v>2.2300000000000002E-3</v>
      </c>
    </row>
    <row r="7" spans="1:9" ht="15.75" customHeight="1" x14ac:dyDescent="0.15">
      <c r="A7" s="10" t="s">
        <v>35</v>
      </c>
      <c r="B7" s="10" t="s">
        <v>18</v>
      </c>
      <c r="C7" s="10">
        <v>6</v>
      </c>
      <c r="D7" s="10">
        <v>0.53649000000000002</v>
      </c>
      <c r="E7" s="10">
        <v>0.27728999999999998</v>
      </c>
      <c r="F7" s="10">
        <v>0.12161</v>
      </c>
      <c r="G7" s="10">
        <v>4.3650000000000001E-2</v>
      </c>
      <c r="H7" s="10">
        <v>1.5469999999999999E-2</v>
      </c>
      <c r="I7" s="10">
        <v>4.9100000000000003E-3</v>
      </c>
    </row>
    <row r="8" spans="1:9" ht="15.75" customHeight="1" x14ac:dyDescent="0.15">
      <c r="A8" s="10" t="s">
        <v>32</v>
      </c>
      <c r="B8" s="10" t="s">
        <v>18</v>
      </c>
      <c r="C8" s="10">
        <v>7</v>
      </c>
      <c r="D8" s="10">
        <v>0.77832000000000001</v>
      </c>
      <c r="E8" s="10">
        <v>0.33944999999999997</v>
      </c>
      <c r="F8" s="10">
        <v>0.17385999999999999</v>
      </c>
      <c r="G8" s="10">
        <v>6.4820000000000003E-2</v>
      </c>
      <c r="H8" s="10">
        <v>2.4389999999999998E-2</v>
      </c>
      <c r="I8" s="10">
        <v>8.6700000000000006E-3</v>
      </c>
    </row>
    <row r="9" spans="1:9" ht="15.75" customHeight="1" x14ac:dyDescent="0.15">
      <c r="A9" s="10" t="s">
        <v>59</v>
      </c>
      <c r="B9" s="10" t="s">
        <v>18</v>
      </c>
      <c r="C9" s="10">
        <v>8</v>
      </c>
      <c r="D9" s="10">
        <v>0.42203000000000002</v>
      </c>
      <c r="E9" s="10">
        <v>7.1690000000000004E-2</v>
      </c>
      <c r="F9" s="10">
        <v>2.5839999999999998E-2</v>
      </c>
      <c r="G9" s="10">
        <v>7.3899999999999999E-3</v>
      </c>
      <c r="H9" s="10">
        <v>1.82E-3</v>
      </c>
      <c r="I9" s="10">
        <v>4.6000000000000001E-4</v>
      </c>
    </row>
    <row r="10" spans="1:9" ht="15.75" customHeight="1" x14ac:dyDescent="0.15">
      <c r="A10" s="10" t="s">
        <v>51</v>
      </c>
      <c r="B10" s="10" t="s">
        <v>18</v>
      </c>
      <c r="C10" s="10">
        <v>9</v>
      </c>
      <c r="D10" s="10">
        <v>0.57796999999999998</v>
      </c>
      <c r="E10" s="10">
        <v>0.12217</v>
      </c>
      <c r="F10" s="10">
        <v>5.3580000000000003E-2</v>
      </c>
      <c r="G10" s="10">
        <v>1.9959999999999999E-2</v>
      </c>
      <c r="H10" s="10">
        <v>5.8999999999999999E-3</v>
      </c>
      <c r="I10" s="10">
        <v>1.56E-3</v>
      </c>
    </row>
    <row r="11" spans="1:9" ht="15.75" customHeight="1" x14ac:dyDescent="0.15">
      <c r="A11" s="10" t="s">
        <v>67</v>
      </c>
      <c r="B11" s="10" t="s">
        <v>18</v>
      </c>
      <c r="C11" s="10">
        <v>10</v>
      </c>
      <c r="D11" s="10">
        <v>0.22167999999999999</v>
      </c>
      <c r="E11" s="10">
        <v>4.2819999999999997E-2</v>
      </c>
      <c r="F11" s="10">
        <v>1.022E-2</v>
      </c>
      <c r="G11" s="10">
        <v>1.39E-3</v>
      </c>
      <c r="H11" s="10">
        <v>2.5000000000000001E-4</v>
      </c>
      <c r="I11" s="12">
        <v>2.0000000000000002E-5</v>
      </c>
    </row>
    <row r="12" spans="1:9" ht="15.75" customHeight="1" x14ac:dyDescent="0.15">
      <c r="A12" s="10" t="s">
        <v>40</v>
      </c>
      <c r="B12" s="10" t="s">
        <v>18</v>
      </c>
      <c r="C12" s="10">
        <v>11</v>
      </c>
      <c r="D12" s="10">
        <v>0.46350999999999998</v>
      </c>
      <c r="E12" s="10">
        <v>0.22198999999999999</v>
      </c>
      <c r="F12" s="10">
        <v>8.8859999999999995E-2</v>
      </c>
      <c r="G12" s="10">
        <v>2.8400000000000002E-2</v>
      </c>
      <c r="H12" s="10">
        <v>9.2599999999999991E-3</v>
      </c>
      <c r="I12" s="10">
        <v>3.0599999999999998E-3</v>
      </c>
    </row>
    <row r="13" spans="1:9" ht="15.75" customHeight="1" x14ac:dyDescent="0.15">
      <c r="A13" s="10" t="s">
        <v>60</v>
      </c>
      <c r="B13" s="10" t="s">
        <v>18</v>
      </c>
      <c r="C13" s="10">
        <v>12</v>
      </c>
      <c r="D13" s="10">
        <v>0.38562999999999997</v>
      </c>
      <c r="E13" s="10">
        <v>0.12920999999999999</v>
      </c>
      <c r="F13" s="10">
        <v>2.5669999999999998E-2</v>
      </c>
      <c r="G13" s="10">
        <v>7.0299999999999998E-3</v>
      </c>
      <c r="H13" s="10">
        <v>1.3500000000000001E-3</v>
      </c>
      <c r="I13" s="10">
        <v>2.9E-4</v>
      </c>
    </row>
    <row r="14" spans="1:9" ht="15.75" customHeight="1" x14ac:dyDescent="0.15">
      <c r="A14" s="10" t="s">
        <v>72</v>
      </c>
      <c r="B14" s="10" t="s">
        <v>18</v>
      </c>
      <c r="C14" s="10">
        <v>13</v>
      </c>
      <c r="D14" s="10">
        <v>0.14208000000000001</v>
      </c>
      <c r="E14" s="10">
        <v>3.6490000000000002E-2</v>
      </c>
      <c r="F14" s="10">
        <v>4.0299999999999997E-3</v>
      </c>
      <c r="G14" s="10">
        <v>5.1000000000000004E-4</v>
      </c>
      <c r="H14" s="12">
        <v>4.0000000000000003E-5</v>
      </c>
      <c r="I14" s="10">
        <v>0</v>
      </c>
    </row>
    <row r="15" spans="1:9" ht="15.75" customHeight="1" x14ac:dyDescent="0.15">
      <c r="A15" s="10" t="s">
        <v>70</v>
      </c>
      <c r="B15" s="10" t="s">
        <v>18</v>
      </c>
      <c r="C15" s="10">
        <v>14</v>
      </c>
      <c r="D15" s="10">
        <v>0.11512</v>
      </c>
      <c r="E15" s="10">
        <v>1.5939999999999999E-2</v>
      </c>
      <c r="F15" s="10">
        <v>1.6800000000000001E-3</v>
      </c>
      <c r="G15" s="10">
        <v>1.2999999999999999E-4</v>
      </c>
      <c r="H15" s="12">
        <v>1.0000000000000001E-5</v>
      </c>
      <c r="I15" s="10">
        <v>0</v>
      </c>
    </row>
    <row r="16" spans="1:9" ht="15.75" customHeight="1" x14ac:dyDescent="0.15">
      <c r="A16" s="10" t="s">
        <v>71</v>
      </c>
      <c r="B16" s="10" t="s">
        <v>18</v>
      </c>
      <c r="C16" s="10">
        <v>15</v>
      </c>
      <c r="D16" s="10">
        <v>9.6909999999999996E-2</v>
      </c>
      <c r="E16" s="10">
        <v>1.934E-2</v>
      </c>
      <c r="F16" s="10">
        <v>2.9399999999999999E-3</v>
      </c>
      <c r="G16" s="10">
        <v>2.5999999999999998E-4</v>
      </c>
      <c r="H16" s="12">
        <v>3.0000000000000001E-5</v>
      </c>
      <c r="I16" s="10">
        <v>0</v>
      </c>
    </row>
    <row r="17" spans="1:9" ht="15.75" customHeight="1" x14ac:dyDescent="0.15">
      <c r="A17" s="10" t="s">
        <v>73</v>
      </c>
      <c r="B17" s="10" t="s">
        <v>18</v>
      </c>
      <c r="C17" s="10">
        <v>16</v>
      </c>
      <c r="D17" s="10">
        <v>2.879E-2</v>
      </c>
      <c r="E17" s="10">
        <v>3.63E-3</v>
      </c>
      <c r="F17" s="10">
        <v>3.6000000000000002E-4</v>
      </c>
      <c r="G17" s="10">
        <v>0</v>
      </c>
      <c r="H17" s="10">
        <v>0</v>
      </c>
      <c r="I17" s="10">
        <v>0</v>
      </c>
    </row>
    <row r="18" spans="1:9" ht="15.75" customHeight="1" x14ac:dyDescent="0.15">
      <c r="A18" s="10" t="s">
        <v>13</v>
      </c>
      <c r="B18" s="10" t="s">
        <v>14</v>
      </c>
      <c r="C18" s="10">
        <v>1</v>
      </c>
      <c r="D18" s="10">
        <v>0.97989999999999999</v>
      </c>
      <c r="E18" s="10">
        <v>0.74961999999999995</v>
      </c>
      <c r="F18" s="10">
        <v>0.59314999999999996</v>
      </c>
      <c r="G18" s="10">
        <v>0.43930999999999998</v>
      </c>
      <c r="H18" s="10">
        <v>0.28408</v>
      </c>
      <c r="I18" s="10">
        <v>0.17323</v>
      </c>
    </row>
    <row r="19" spans="1:9" ht="15.75" customHeight="1" x14ac:dyDescent="0.15">
      <c r="A19" s="10" t="s">
        <v>23</v>
      </c>
      <c r="B19" s="10" t="s">
        <v>14</v>
      </c>
      <c r="C19" s="10">
        <v>2</v>
      </c>
      <c r="D19" s="10">
        <v>0.91218999999999995</v>
      </c>
      <c r="E19" s="10">
        <v>0.69660999999999995</v>
      </c>
      <c r="F19" s="10">
        <v>0.49933</v>
      </c>
      <c r="G19" s="10">
        <v>0.23139999999999999</v>
      </c>
      <c r="H19" s="10">
        <v>0.11594</v>
      </c>
      <c r="I19" s="10">
        <v>5.3920000000000003E-2</v>
      </c>
    </row>
    <row r="20" spans="1:9" ht="15.75" customHeight="1" x14ac:dyDescent="0.15">
      <c r="A20" s="10" t="s">
        <v>42</v>
      </c>
      <c r="B20" s="10" t="s">
        <v>14</v>
      </c>
      <c r="C20" s="10">
        <v>3</v>
      </c>
      <c r="D20" s="10">
        <v>0.75882000000000005</v>
      </c>
      <c r="E20" s="10">
        <v>0.35765000000000002</v>
      </c>
      <c r="F20" s="10">
        <v>0.13216</v>
      </c>
      <c r="G20" s="10">
        <v>3.5680000000000003E-2</v>
      </c>
      <c r="H20" s="10">
        <v>1.038E-2</v>
      </c>
      <c r="I20" s="10">
        <v>2.65E-3</v>
      </c>
    </row>
    <row r="21" spans="1:9" ht="15.75" customHeight="1" x14ac:dyDescent="0.15">
      <c r="A21" s="10" t="s">
        <v>47</v>
      </c>
      <c r="B21" s="10" t="s">
        <v>14</v>
      </c>
      <c r="C21" s="10">
        <v>4</v>
      </c>
      <c r="D21" s="10">
        <v>0.68357999999999997</v>
      </c>
      <c r="E21" s="10">
        <v>0.29803000000000002</v>
      </c>
      <c r="F21" s="10">
        <v>6.8599999999999994E-2</v>
      </c>
      <c r="G21" s="10">
        <v>2.708E-2</v>
      </c>
      <c r="H21" s="10">
        <v>7.4999999999999997E-3</v>
      </c>
      <c r="I21" s="10">
        <v>1.9499999999999999E-3</v>
      </c>
    </row>
    <row r="22" spans="1:9" ht="15.75" customHeight="1" x14ac:dyDescent="0.15">
      <c r="A22" s="10" t="s">
        <v>28</v>
      </c>
      <c r="B22" s="10" t="s">
        <v>14</v>
      </c>
      <c r="C22" s="10">
        <v>5</v>
      </c>
      <c r="D22" s="10">
        <v>0.81640999999999997</v>
      </c>
      <c r="E22" s="10">
        <v>0.55398999999999998</v>
      </c>
      <c r="F22" s="10">
        <v>0.18048</v>
      </c>
      <c r="G22" s="10">
        <v>9.307E-2</v>
      </c>
      <c r="H22" s="10">
        <v>3.7659999999999999E-2</v>
      </c>
      <c r="I22" s="10">
        <v>1.338E-2</v>
      </c>
    </row>
    <row r="23" spans="1:9" ht="15.75" customHeight="1" x14ac:dyDescent="0.15">
      <c r="A23" s="10" t="s">
        <v>36</v>
      </c>
      <c r="B23" s="10" t="s">
        <v>14</v>
      </c>
      <c r="C23" s="10">
        <v>6</v>
      </c>
      <c r="D23" s="10">
        <v>0.55830999999999997</v>
      </c>
      <c r="E23" s="10">
        <v>0.34176000000000001</v>
      </c>
      <c r="F23" s="10">
        <v>0.14029</v>
      </c>
      <c r="G23" s="10">
        <v>4.3959999999999999E-2</v>
      </c>
      <c r="H23" s="10">
        <v>1.474E-2</v>
      </c>
      <c r="I23" s="10">
        <v>4.3499999999999997E-3</v>
      </c>
    </row>
    <row r="24" spans="1:9" ht="15.75" customHeight="1" x14ac:dyDescent="0.15">
      <c r="A24" s="10" t="s">
        <v>52</v>
      </c>
      <c r="B24" s="10" t="s">
        <v>14</v>
      </c>
      <c r="C24" s="10">
        <v>7</v>
      </c>
      <c r="D24" s="10">
        <v>0.56032000000000004</v>
      </c>
      <c r="E24" s="10">
        <v>0.16852</v>
      </c>
      <c r="F24" s="10">
        <v>7.9549999999999996E-2</v>
      </c>
      <c r="G24" s="10">
        <v>1.9789999999999999E-2</v>
      </c>
      <c r="H24" s="10">
        <v>5.2599999999999999E-3</v>
      </c>
      <c r="I24" s="10">
        <v>1.24E-3</v>
      </c>
    </row>
    <row r="25" spans="1:9" ht="15.75" customHeight="1" x14ac:dyDescent="0.15">
      <c r="A25" s="10" t="s">
        <v>30</v>
      </c>
      <c r="B25" s="10" t="s">
        <v>14</v>
      </c>
      <c r="C25" s="10">
        <v>8</v>
      </c>
      <c r="D25" s="10">
        <v>0.68313999999999997</v>
      </c>
      <c r="E25" s="10">
        <v>0.19738</v>
      </c>
      <c r="F25" s="10">
        <v>0.11934</v>
      </c>
      <c r="G25" s="10">
        <v>6.3479999999999995E-2</v>
      </c>
      <c r="H25" s="10">
        <v>2.699E-2</v>
      </c>
      <c r="I25" s="10">
        <v>1.039E-2</v>
      </c>
    </row>
    <row r="26" spans="1:9" ht="15.75" customHeight="1" x14ac:dyDescent="0.15">
      <c r="A26" s="10" t="s">
        <v>57</v>
      </c>
      <c r="B26" s="10" t="s">
        <v>14</v>
      </c>
      <c r="C26" s="10">
        <v>9</v>
      </c>
      <c r="D26" s="10">
        <v>0.31685999999999998</v>
      </c>
      <c r="E26" s="10">
        <v>5.1700000000000003E-2</v>
      </c>
      <c r="F26" s="10">
        <v>2.1180000000000001E-2</v>
      </c>
      <c r="G26" s="10">
        <v>7.5100000000000002E-3</v>
      </c>
      <c r="H26" s="10">
        <v>2.0600000000000002E-3</v>
      </c>
      <c r="I26" s="10">
        <v>4.6999999999999999E-4</v>
      </c>
    </row>
    <row r="27" spans="1:9" ht="15.75" customHeight="1" x14ac:dyDescent="0.15">
      <c r="A27" s="10" t="s">
        <v>58</v>
      </c>
      <c r="B27" s="10" t="s">
        <v>14</v>
      </c>
      <c r="C27" s="10">
        <v>10</v>
      </c>
      <c r="D27" s="10">
        <v>0.43968000000000002</v>
      </c>
      <c r="E27" s="10">
        <v>0.11395</v>
      </c>
      <c r="F27" s="10">
        <v>4.7690000000000003E-2</v>
      </c>
      <c r="G27" s="10">
        <v>9.9699999999999997E-3</v>
      </c>
      <c r="H27" s="10">
        <v>2.1700000000000001E-3</v>
      </c>
      <c r="I27" s="10">
        <v>4.6000000000000001E-4</v>
      </c>
    </row>
    <row r="28" spans="1:9" ht="15.75" customHeight="1" x14ac:dyDescent="0.15">
      <c r="A28" s="10" t="s">
        <v>50</v>
      </c>
      <c r="B28" s="10" t="s">
        <v>14</v>
      </c>
      <c r="C28" s="10">
        <v>11</v>
      </c>
      <c r="D28" s="10">
        <v>0.44169000000000003</v>
      </c>
      <c r="E28" s="10">
        <v>0.24540999999999999</v>
      </c>
      <c r="F28" s="10">
        <v>8.8050000000000003E-2</v>
      </c>
      <c r="G28" s="10">
        <v>2.3369999999999998E-2</v>
      </c>
      <c r="H28" s="10">
        <v>6.6899999999999998E-3</v>
      </c>
      <c r="I28" s="10">
        <v>1.6199999999999999E-3</v>
      </c>
    </row>
    <row r="29" spans="1:9" ht="15.75" customHeight="1" x14ac:dyDescent="0.15">
      <c r="A29" s="10" t="s">
        <v>64</v>
      </c>
      <c r="B29" s="10" t="s">
        <v>14</v>
      </c>
      <c r="C29" s="10">
        <v>12</v>
      </c>
      <c r="D29" s="10">
        <v>0.18359</v>
      </c>
      <c r="E29" s="10">
        <v>6.071E-2</v>
      </c>
      <c r="F29" s="10">
        <v>6.3099999999999996E-3</v>
      </c>
      <c r="G29" s="10">
        <v>1.41E-3</v>
      </c>
      <c r="H29" s="10">
        <v>1.4999999999999999E-4</v>
      </c>
      <c r="I29" s="12">
        <v>5.0000000000000002E-5</v>
      </c>
    </row>
    <row r="30" spans="1:9" ht="15.75" customHeight="1" x14ac:dyDescent="0.15">
      <c r="A30" s="10" t="s">
        <v>65</v>
      </c>
      <c r="B30" s="10" t="s">
        <v>14</v>
      </c>
      <c r="C30" s="10">
        <v>13</v>
      </c>
      <c r="D30" s="10">
        <v>0.31641999999999998</v>
      </c>
      <c r="E30" s="10">
        <v>8.727E-2</v>
      </c>
      <c r="F30" s="10">
        <v>1.082E-2</v>
      </c>
      <c r="G30" s="10">
        <v>2.5899999999999999E-3</v>
      </c>
      <c r="H30" s="10">
        <v>4.2999999999999999E-4</v>
      </c>
      <c r="I30" s="12">
        <v>5.0000000000000002E-5</v>
      </c>
    </row>
    <row r="31" spans="1:9" ht="15.75" customHeight="1" x14ac:dyDescent="0.15">
      <c r="A31" s="10" t="s">
        <v>69</v>
      </c>
      <c r="B31" s="10" t="s">
        <v>14</v>
      </c>
      <c r="C31" s="10">
        <v>14</v>
      </c>
      <c r="D31" s="10">
        <v>0.24118000000000001</v>
      </c>
      <c r="E31" s="10">
        <v>5.518E-2</v>
      </c>
      <c r="F31" s="10">
        <v>8.8900000000000003E-3</v>
      </c>
      <c r="G31" s="10">
        <v>1.0499999999999999E-3</v>
      </c>
      <c r="H31" s="10">
        <v>1.2999999999999999E-4</v>
      </c>
      <c r="I31" s="12">
        <v>1.0000000000000001E-5</v>
      </c>
    </row>
    <row r="32" spans="1:9" ht="15.75" customHeight="1" x14ac:dyDescent="0.15">
      <c r="A32" s="10" t="s">
        <v>74</v>
      </c>
      <c r="B32" s="10" t="s">
        <v>14</v>
      </c>
      <c r="C32" s="10">
        <v>15</v>
      </c>
      <c r="D32" s="10">
        <v>8.7809999999999999E-2</v>
      </c>
      <c r="E32" s="10">
        <v>2.0920000000000001E-2</v>
      </c>
      <c r="F32" s="10">
        <v>4.0400000000000002E-3</v>
      </c>
      <c r="G32" s="12">
        <v>2.9999999999999997E-4</v>
      </c>
      <c r="H32" s="12">
        <v>6.0000000000000002E-5</v>
      </c>
      <c r="I32" s="10">
        <v>0</v>
      </c>
    </row>
    <row r="33" spans="1:9" ht="15.75" customHeight="1" x14ac:dyDescent="0.15">
      <c r="A33" s="10" t="s">
        <v>75</v>
      </c>
      <c r="B33" s="10" t="s">
        <v>14</v>
      </c>
      <c r="C33" s="10">
        <v>16</v>
      </c>
      <c r="D33" s="10">
        <v>2.01E-2</v>
      </c>
      <c r="E33" s="10">
        <v>1.2999999999999999E-3</v>
      </c>
      <c r="F33" s="10">
        <v>1.2E-4</v>
      </c>
      <c r="G33" s="12">
        <v>3.0000000000000001E-5</v>
      </c>
      <c r="H33" s="10">
        <v>0</v>
      </c>
      <c r="I33" s="10">
        <v>0</v>
      </c>
    </row>
    <row r="34" spans="1:9" ht="15.75" customHeight="1" x14ac:dyDescent="0.15">
      <c r="A34" s="10" t="s">
        <v>19</v>
      </c>
      <c r="B34" s="10" t="s">
        <v>20</v>
      </c>
      <c r="C34" s="10">
        <v>1</v>
      </c>
      <c r="D34" s="10">
        <v>0.98387000000000002</v>
      </c>
      <c r="E34" s="10">
        <v>0.69521999999999995</v>
      </c>
      <c r="F34" s="10">
        <v>0.52566999999999997</v>
      </c>
      <c r="G34" s="10">
        <v>0.34022999999999998</v>
      </c>
      <c r="H34" s="10">
        <v>0.18085000000000001</v>
      </c>
      <c r="I34" s="10">
        <v>9.6329999999999999E-2</v>
      </c>
    </row>
    <row r="35" spans="1:9" ht="15.75" customHeight="1" x14ac:dyDescent="0.15">
      <c r="A35" s="10" t="s">
        <v>22</v>
      </c>
      <c r="B35" s="10" t="s">
        <v>20</v>
      </c>
      <c r="C35" s="10">
        <v>2</v>
      </c>
      <c r="D35" s="10">
        <v>0.91903000000000001</v>
      </c>
      <c r="E35" s="10">
        <v>0.6532</v>
      </c>
      <c r="F35" s="10">
        <v>0.45616000000000001</v>
      </c>
      <c r="G35" s="10">
        <v>0.25885000000000002</v>
      </c>
      <c r="H35" s="10">
        <v>0.12615000000000001</v>
      </c>
      <c r="I35" s="10">
        <v>6.2E-2</v>
      </c>
    </row>
    <row r="36" spans="1:9" ht="15.75" customHeight="1" x14ac:dyDescent="0.15">
      <c r="A36" s="10" t="s">
        <v>31</v>
      </c>
      <c r="B36" s="10" t="s">
        <v>20</v>
      </c>
      <c r="C36" s="10">
        <v>3</v>
      </c>
      <c r="D36" s="10">
        <v>0.83567999999999998</v>
      </c>
      <c r="E36" s="10">
        <v>0.48610999999999999</v>
      </c>
      <c r="F36" s="10">
        <v>0.20549999999999999</v>
      </c>
      <c r="G36" s="10">
        <v>8.5900000000000004E-2</v>
      </c>
      <c r="H36" s="10">
        <v>2.877E-2</v>
      </c>
      <c r="I36" s="10">
        <v>9.9500000000000005E-3</v>
      </c>
    </row>
    <row r="37" spans="1:9" ht="15.75" customHeight="1" x14ac:dyDescent="0.15">
      <c r="A37" s="10" t="s">
        <v>38</v>
      </c>
      <c r="B37" s="10" t="s">
        <v>20</v>
      </c>
      <c r="C37" s="10">
        <v>4</v>
      </c>
      <c r="D37" s="10">
        <v>0.67588000000000004</v>
      </c>
      <c r="E37" s="10">
        <v>0.34339999999999998</v>
      </c>
      <c r="F37" s="10">
        <v>0.10927000000000001</v>
      </c>
      <c r="G37" s="10">
        <v>4.5269999999999998E-2</v>
      </c>
      <c r="H37" s="10">
        <v>1.379E-2</v>
      </c>
      <c r="I37" s="10">
        <v>4.0299999999999997E-3</v>
      </c>
    </row>
    <row r="38" spans="1:9" ht="15.75" customHeight="1" x14ac:dyDescent="0.15">
      <c r="A38" s="10" t="s">
        <v>37</v>
      </c>
      <c r="B38" s="10" t="s">
        <v>20</v>
      </c>
      <c r="C38" s="10">
        <v>5</v>
      </c>
      <c r="D38" s="10">
        <v>0.55561000000000005</v>
      </c>
      <c r="E38" s="10">
        <v>0.31742999999999999</v>
      </c>
      <c r="F38" s="10">
        <v>0.1055</v>
      </c>
      <c r="G38" s="10">
        <v>4.4110000000000003E-2</v>
      </c>
      <c r="H38" s="10">
        <v>1.3729999999999999E-2</v>
      </c>
      <c r="I38" s="10">
        <v>4.1399999999999996E-3</v>
      </c>
    </row>
    <row r="39" spans="1:9" ht="15.75" customHeight="1" x14ac:dyDescent="0.15">
      <c r="A39" s="10" t="s">
        <v>55</v>
      </c>
      <c r="B39" s="10" t="s">
        <v>20</v>
      </c>
      <c r="C39" s="10">
        <v>6</v>
      </c>
      <c r="D39" s="10">
        <v>0.42981000000000003</v>
      </c>
      <c r="E39" s="10">
        <v>0.18912000000000001</v>
      </c>
      <c r="F39" s="10">
        <v>6.0449999999999997E-2</v>
      </c>
      <c r="G39" s="10">
        <v>1.8339999999999999E-2</v>
      </c>
      <c r="H39" s="10">
        <v>4.3699999999999998E-3</v>
      </c>
      <c r="I39" s="10">
        <v>1.1199999999999999E-3</v>
      </c>
    </row>
    <row r="40" spans="1:9" ht="15.75" customHeight="1" x14ac:dyDescent="0.15">
      <c r="A40" s="10" t="s">
        <v>41</v>
      </c>
      <c r="B40" s="10" t="s">
        <v>20</v>
      </c>
      <c r="C40" s="10">
        <v>7</v>
      </c>
      <c r="D40" s="10">
        <v>0.52203999999999995</v>
      </c>
      <c r="E40" s="10">
        <v>0.17763999999999999</v>
      </c>
      <c r="F40" s="10">
        <v>8.7989999999999999E-2</v>
      </c>
      <c r="G40" s="10">
        <v>3.3029999999999997E-2</v>
      </c>
      <c r="H40" s="10">
        <v>9.9000000000000008E-3</v>
      </c>
      <c r="I40" s="10">
        <v>2.9499999999999999E-3</v>
      </c>
    </row>
    <row r="41" spans="1:9" ht="15.75" customHeight="1" x14ac:dyDescent="0.15">
      <c r="A41" s="10" t="s">
        <v>33</v>
      </c>
      <c r="B41" s="10" t="s">
        <v>20</v>
      </c>
      <c r="C41" s="10">
        <v>8</v>
      </c>
      <c r="D41" s="10">
        <v>0.57262999999999997</v>
      </c>
      <c r="E41" s="10">
        <v>0.18894</v>
      </c>
      <c r="F41" s="10">
        <v>0.11266</v>
      </c>
      <c r="G41" s="10">
        <v>5.2830000000000002E-2</v>
      </c>
      <c r="H41" s="10">
        <v>1.883E-2</v>
      </c>
      <c r="I41" s="10">
        <v>6.8599999999999998E-3</v>
      </c>
    </row>
    <row r="42" spans="1:9" ht="15.75" customHeight="1" x14ac:dyDescent="0.15">
      <c r="A42" s="10" t="s">
        <v>44</v>
      </c>
      <c r="B42" s="10" t="s">
        <v>20</v>
      </c>
      <c r="C42" s="10">
        <v>9</v>
      </c>
      <c r="D42" s="10">
        <v>0.42737000000000003</v>
      </c>
      <c r="E42" s="10">
        <v>0.11519</v>
      </c>
      <c r="F42" s="10">
        <v>6.0150000000000002E-2</v>
      </c>
      <c r="G42" s="10">
        <v>2.4369999999999999E-2</v>
      </c>
      <c r="H42" s="10">
        <v>7.0800000000000004E-3</v>
      </c>
      <c r="I42" s="10">
        <v>2.15E-3</v>
      </c>
    </row>
    <row r="43" spans="1:9" ht="15.75" customHeight="1" x14ac:dyDescent="0.15">
      <c r="A43" s="10" t="s">
        <v>48</v>
      </c>
      <c r="B43" s="10" t="s">
        <v>20</v>
      </c>
      <c r="C43" s="10">
        <v>10</v>
      </c>
      <c r="D43" s="10">
        <v>0.47796</v>
      </c>
      <c r="E43" s="10">
        <v>0.15451000000000001</v>
      </c>
      <c r="F43" s="10">
        <v>7.3279999999999998E-2</v>
      </c>
      <c r="G43" s="10">
        <v>2.4830000000000001E-2</v>
      </c>
      <c r="H43" s="10">
        <v>6.6100000000000004E-3</v>
      </c>
      <c r="I43" s="10">
        <v>1.8799999999999999E-3</v>
      </c>
    </row>
    <row r="44" spans="1:9" ht="15.75" customHeight="1" x14ac:dyDescent="0.15">
      <c r="A44" s="10" t="s">
        <v>39</v>
      </c>
      <c r="B44" s="10" t="s">
        <v>20</v>
      </c>
      <c r="C44" s="10">
        <v>11</v>
      </c>
      <c r="D44" s="10">
        <v>0.57018999999999997</v>
      </c>
      <c r="E44" s="10">
        <v>0.28927999999999998</v>
      </c>
      <c r="F44" s="10">
        <v>0.10938000000000001</v>
      </c>
      <c r="G44" s="10">
        <v>4.1459999999999997E-2</v>
      </c>
      <c r="H44" s="10">
        <v>1.265E-2</v>
      </c>
      <c r="I44" s="10">
        <v>3.8400000000000001E-3</v>
      </c>
    </row>
    <row r="45" spans="1:9" ht="15.75" customHeight="1" x14ac:dyDescent="0.15">
      <c r="A45" s="10" t="s">
        <v>46</v>
      </c>
      <c r="B45" s="10" t="s">
        <v>20</v>
      </c>
      <c r="C45" s="10">
        <v>12</v>
      </c>
      <c r="D45" s="10">
        <v>0.44439000000000001</v>
      </c>
      <c r="E45" s="10">
        <v>0.23225000000000001</v>
      </c>
      <c r="F45" s="10">
        <v>6.7140000000000005E-2</v>
      </c>
      <c r="G45" s="10">
        <v>2.4629999999999999E-2</v>
      </c>
      <c r="H45" s="10">
        <v>6.62E-3</v>
      </c>
      <c r="I45" s="10">
        <v>2.0200000000000001E-3</v>
      </c>
    </row>
    <row r="46" spans="1:9" ht="15.75" customHeight="1" x14ac:dyDescent="0.15">
      <c r="A46" s="10" t="s">
        <v>63</v>
      </c>
      <c r="B46" s="10" t="s">
        <v>20</v>
      </c>
      <c r="C46" s="10">
        <v>13</v>
      </c>
      <c r="D46" s="10">
        <v>0.32412000000000002</v>
      </c>
      <c r="E46" s="10">
        <v>0.10692</v>
      </c>
      <c r="F46" s="10">
        <v>1.9550000000000001E-2</v>
      </c>
      <c r="G46" s="10">
        <v>5.0299999999999997E-3</v>
      </c>
      <c r="H46" s="10">
        <v>9.6000000000000002E-4</v>
      </c>
      <c r="I46" s="12">
        <v>2.0000000000000001E-4</v>
      </c>
    </row>
    <row r="47" spans="1:9" ht="15.75" customHeight="1" x14ac:dyDescent="0.15">
      <c r="A47" s="10" t="s">
        <v>68</v>
      </c>
      <c r="B47" s="10" t="s">
        <v>20</v>
      </c>
      <c r="C47" s="10">
        <v>14</v>
      </c>
      <c r="D47" s="10">
        <v>0.16431999999999999</v>
      </c>
      <c r="E47" s="10">
        <v>3.5490000000000001E-2</v>
      </c>
      <c r="F47" s="10">
        <v>4.8900000000000002E-3</v>
      </c>
      <c r="G47" s="10">
        <v>7.6999999999999996E-4</v>
      </c>
      <c r="H47" s="10">
        <v>1.2E-4</v>
      </c>
      <c r="I47" s="12">
        <v>1.0000000000000001E-5</v>
      </c>
    </row>
    <row r="48" spans="1:9" ht="15.75" customHeight="1" x14ac:dyDescent="0.15">
      <c r="A48" s="10" t="s">
        <v>76</v>
      </c>
      <c r="B48" s="10" t="s">
        <v>20</v>
      </c>
      <c r="C48" s="10">
        <v>15</v>
      </c>
      <c r="D48" s="10">
        <v>8.097E-2</v>
      </c>
      <c r="E48" s="10">
        <v>1.465E-2</v>
      </c>
      <c r="F48" s="10">
        <v>2.3500000000000001E-3</v>
      </c>
      <c r="G48" s="10">
        <v>3.5E-4</v>
      </c>
      <c r="H48" s="12">
        <v>2.0000000000000002E-5</v>
      </c>
      <c r="I48" s="10">
        <v>0</v>
      </c>
    </row>
    <row r="49" spans="1:9" ht="15.75" customHeight="1" x14ac:dyDescent="0.15">
      <c r="A49" s="10" t="s">
        <v>77</v>
      </c>
      <c r="B49" s="10" t="s">
        <v>20</v>
      </c>
      <c r="C49" s="10">
        <v>16</v>
      </c>
      <c r="D49" s="10">
        <v>1.6129999999999999E-2</v>
      </c>
      <c r="E49" s="10">
        <v>6.4999999999999997E-4</v>
      </c>
      <c r="F49" s="12">
        <v>6.0000000000000002E-5</v>
      </c>
      <c r="G49" s="10">
        <v>0</v>
      </c>
      <c r="H49" s="10">
        <v>0</v>
      </c>
      <c r="I49" s="10">
        <v>0</v>
      </c>
    </row>
    <row r="50" spans="1:9" ht="13" x14ac:dyDescent="0.15">
      <c r="A50" s="10" t="s">
        <v>15</v>
      </c>
      <c r="B50" s="10" t="s">
        <v>16</v>
      </c>
      <c r="C50" s="10">
        <v>1</v>
      </c>
      <c r="D50" s="10">
        <v>0.97219999999999995</v>
      </c>
      <c r="E50" s="10">
        <v>0.76837999999999995</v>
      </c>
      <c r="F50" s="10">
        <v>0.57887</v>
      </c>
      <c r="G50" s="10">
        <v>0.39517999999999998</v>
      </c>
      <c r="H50" s="10">
        <v>0.26633000000000001</v>
      </c>
      <c r="I50" s="10">
        <v>0.16288</v>
      </c>
    </row>
    <row r="51" spans="1:9" ht="13" x14ac:dyDescent="0.15">
      <c r="A51" s="10" t="s">
        <v>21</v>
      </c>
      <c r="B51" s="10" t="s">
        <v>16</v>
      </c>
      <c r="C51" s="10">
        <v>2</v>
      </c>
      <c r="D51" s="10">
        <v>0.94015000000000004</v>
      </c>
      <c r="E51" s="10">
        <v>0.74753999999999998</v>
      </c>
      <c r="F51" s="10">
        <v>0.51627000000000001</v>
      </c>
      <c r="G51" s="10">
        <v>0.26369999999999999</v>
      </c>
      <c r="H51" s="10">
        <v>0.15608</v>
      </c>
      <c r="I51" s="10">
        <v>8.0610000000000001E-2</v>
      </c>
    </row>
    <row r="52" spans="1:9" ht="13" x14ac:dyDescent="0.15">
      <c r="A52" s="10" t="s">
        <v>26</v>
      </c>
      <c r="B52" s="10" t="s">
        <v>16</v>
      </c>
      <c r="C52" s="10">
        <v>3</v>
      </c>
      <c r="D52" s="10">
        <v>0.86204999999999998</v>
      </c>
      <c r="E52" s="10">
        <v>0.57010000000000005</v>
      </c>
      <c r="F52" s="10">
        <v>0.26291999999999999</v>
      </c>
      <c r="G52" s="10">
        <v>0.1027</v>
      </c>
      <c r="H52" s="10">
        <v>4.8039999999999999E-2</v>
      </c>
      <c r="I52" s="10">
        <v>1.993E-2</v>
      </c>
    </row>
    <row r="53" spans="1:9" ht="13" x14ac:dyDescent="0.15">
      <c r="A53" s="10" t="s">
        <v>25</v>
      </c>
      <c r="B53" s="10" t="s">
        <v>16</v>
      </c>
      <c r="C53" s="10">
        <v>4</v>
      </c>
      <c r="D53" s="10">
        <v>0.82262999999999997</v>
      </c>
      <c r="E53" s="10">
        <v>0.55417000000000005</v>
      </c>
      <c r="F53" s="10">
        <v>0.21260000000000001</v>
      </c>
      <c r="G53" s="10">
        <v>0.10691000000000001</v>
      </c>
      <c r="H53" s="10">
        <v>5.3060000000000003E-2</v>
      </c>
      <c r="I53" s="10">
        <v>2.2960000000000001E-2</v>
      </c>
    </row>
    <row r="54" spans="1:9" ht="13" x14ac:dyDescent="0.15">
      <c r="A54" s="10" t="s">
        <v>49</v>
      </c>
      <c r="B54" s="10" t="s">
        <v>16</v>
      </c>
      <c r="C54" s="10">
        <v>5</v>
      </c>
      <c r="D54" s="10">
        <v>0.52408999999999994</v>
      </c>
      <c r="E54" s="10">
        <v>0.21117</v>
      </c>
      <c r="F54" s="10">
        <v>5.2200000000000003E-2</v>
      </c>
      <c r="G54" s="10">
        <v>1.8319999999999999E-2</v>
      </c>
      <c r="H54" s="10">
        <v>6.1700000000000001E-3</v>
      </c>
      <c r="I54" s="10">
        <v>1.64E-3</v>
      </c>
    </row>
    <row r="55" spans="1:9" ht="13" x14ac:dyDescent="0.15">
      <c r="A55" s="10" t="s">
        <v>56</v>
      </c>
      <c r="B55" s="10" t="s">
        <v>16</v>
      </c>
      <c r="C55" s="10">
        <v>6</v>
      </c>
      <c r="D55" s="10">
        <v>0.45601999999999998</v>
      </c>
      <c r="E55" s="10">
        <v>0.17136999999999999</v>
      </c>
      <c r="F55" s="10">
        <v>5.0119999999999998E-2</v>
      </c>
      <c r="G55" s="10">
        <v>1.2160000000000001E-2</v>
      </c>
      <c r="H55" s="10">
        <v>3.9899999999999996E-3</v>
      </c>
      <c r="I55" s="10">
        <v>9.6000000000000002E-4</v>
      </c>
    </row>
    <row r="56" spans="1:9" ht="13" x14ac:dyDescent="0.15">
      <c r="A56" s="10" t="s">
        <v>53</v>
      </c>
      <c r="B56" s="10" t="s">
        <v>16</v>
      </c>
      <c r="C56" s="10">
        <v>7</v>
      </c>
      <c r="D56" s="10">
        <v>0.57264000000000004</v>
      </c>
      <c r="E56" s="10">
        <v>0.14935999999999999</v>
      </c>
      <c r="F56" s="10">
        <v>5.9240000000000001E-2</v>
      </c>
      <c r="G56" s="10">
        <v>1.5049999999999999E-2</v>
      </c>
      <c r="H56" s="10">
        <v>4.5100000000000001E-3</v>
      </c>
      <c r="I56" s="10">
        <v>1.17E-3</v>
      </c>
    </row>
    <row r="57" spans="1:9" ht="13" x14ac:dyDescent="0.15">
      <c r="A57" s="10" t="s">
        <v>34</v>
      </c>
      <c r="B57" s="10" t="s">
        <v>16</v>
      </c>
      <c r="C57" s="10">
        <v>8</v>
      </c>
      <c r="D57" s="10">
        <v>0.68037999999999998</v>
      </c>
      <c r="E57" s="10">
        <v>0.1802</v>
      </c>
      <c r="F57" s="10">
        <v>9.1420000000000001E-2</v>
      </c>
      <c r="G57" s="10">
        <v>3.8980000000000001E-2</v>
      </c>
      <c r="H57" s="10">
        <v>1.6990000000000002E-2</v>
      </c>
      <c r="I57" s="10">
        <v>6.3800000000000003E-3</v>
      </c>
    </row>
    <row r="58" spans="1:9" ht="13" x14ac:dyDescent="0.15">
      <c r="A58" s="10" t="s">
        <v>61</v>
      </c>
      <c r="B58" s="10" t="s">
        <v>16</v>
      </c>
      <c r="C58" s="10">
        <v>9</v>
      </c>
      <c r="D58" s="10">
        <v>0.31962000000000002</v>
      </c>
      <c r="E58" s="10">
        <v>4.8619999999999997E-2</v>
      </c>
      <c r="F58" s="10">
        <v>1.6119999999999999E-2</v>
      </c>
      <c r="G58" s="10">
        <v>4.4099999999999999E-3</v>
      </c>
      <c r="H58" s="10">
        <v>1.1100000000000001E-3</v>
      </c>
      <c r="I58" s="10">
        <v>2.4000000000000001E-4</v>
      </c>
    </row>
    <row r="59" spans="1:9" ht="13" x14ac:dyDescent="0.15">
      <c r="A59" s="10" t="s">
        <v>62</v>
      </c>
      <c r="B59" s="10" t="s">
        <v>16</v>
      </c>
      <c r="C59" s="10">
        <v>10</v>
      </c>
      <c r="D59" s="10">
        <v>0.42736000000000002</v>
      </c>
      <c r="E59" s="10">
        <v>9.0529999999999999E-2</v>
      </c>
      <c r="F59" s="10">
        <v>3.0259999999999999E-2</v>
      </c>
      <c r="G59" s="10">
        <v>6.4400000000000004E-3</v>
      </c>
      <c r="H59" s="10">
        <v>1.6100000000000001E-3</v>
      </c>
      <c r="I59" s="10">
        <v>2.3000000000000001E-4</v>
      </c>
    </row>
    <row r="60" spans="1:9" ht="13" x14ac:dyDescent="0.15">
      <c r="A60" s="10" t="s">
        <v>45</v>
      </c>
      <c r="B60" s="10" t="s">
        <v>16</v>
      </c>
      <c r="C60" s="10">
        <v>11</v>
      </c>
      <c r="D60" s="10">
        <v>0.54398000000000002</v>
      </c>
      <c r="E60" s="10">
        <v>0.22555</v>
      </c>
      <c r="F60" s="10">
        <v>7.4719999999999995E-2</v>
      </c>
      <c r="G60" s="10">
        <v>2.051E-2</v>
      </c>
      <c r="H60" s="10">
        <v>6.96E-3</v>
      </c>
      <c r="I60" s="10">
        <v>2.0300000000000001E-3</v>
      </c>
    </row>
    <row r="61" spans="1:9" ht="13" x14ac:dyDescent="0.15">
      <c r="A61" s="10" t="s">
        <v>54</v>
      </c>
      <c r="B61" s="10" t="s">
        <v>16</v>
      </c>
      <c r="C61" s="10">
        <v>12</v>
      </c>
      <c r="D61" s="10">
        <v>0.47591</v>
      </c>
      <c r="E61" s="10">
        <v>0.18138000000000001</v>
      </c>
      <c r="F61" s="10">
        <v>4.1709999999999997E-2</v>
      </c>
      <c r="G61" s="10">
        <v>1.384E-2</v>
      </c>
      <c r="H61" s="10">
        <v>4.4200000000000003E-3</v>
      </c>
      <c r="I61" s="10">
        <v>1.1299999999999999E-3</v>
      </c>
    </row>
    <row r="62" spans="1:9" ht="13" x14ac:dyDescent="0.15">
      <c r="A62" s="10" t="s">
        <v>66</v>
      </c>
      <c r="B62" s="10" t="s">
        <v>16</v>
      </c>
      <c r="C62" s="10">
        <v>13</v>
      </c>
      <c r="D62" s="10">
        <v>0.17737</v>
      </c>
      <c r="E62" s="10">
        <v>5.3280000000000001E-2</v>
      </c>
      <c r="F62" s="10">
        <v>6.8300000000000001E-3</v>
      </c>
      <c r="G62" s="10">
        <v>1.2600000000000001E-3</v>
      </c>
      <c r="H62" s="10">
        <v>2.2000000000000001E-4</v>
      </c>
      <c r="I62" s="12">
        <v>3.0000000000000001E-5</v>
      </c>
    </row>
    <row r="63" spans="1:9" ht="13" x14ac:dyDescent="0.15">
      <c r="A63" s="10" t="s">
        <v>78</v>
      </c>
      <c r="B63" s="10" t="s">
        <v>16</v>
      </c>
      <c r="C63" s="10">
        <v>14</v>
      </c>
      <c r="D63" s="10">
        <v>0.13794999999999999</v>
      </c>
      <c r="E63" s="10">
        <v>3.2980000000000002E-2</v>
      </c>
      <c r="F63" s="10">
        <v>4.8500000000000001E-3</v>
      </c>
      <c r="G63" s="10">
        <v>4.4000000000000002E-4</v>
      </c>
      <c r="H63" s="12">
        <v>5.0000000000000002E-5</v>
      </c>
      <c r="I63" s="10">
        <v>0</v>
      </c>
    </row>
    <row r="64" spans="1:9" ht="13" x14ac:dyDescent="0.15">
      <c r="A64" s="10" t="s">
        <v>79</v>
      </c>
      <c r="B64" s="10" t="s">
        <v>16</v>
      </c>
      <c r="C64" s="10">
        <v>15</v>
      </c>
      <c r="D64" s="10">
        <v>5.985E-2</v>
      </c>
      <c r="E64" s="10">
        <v>1.257E-2</v>
      </c>
      <c r="F64" s="10">
        <v>1.6199999999999999E-3</v>
      </c>
      <c r="G64" s="12">
        <v>8.0000000000000007E-5</v>
      </c>
      <c r="H64" s="12">
        <v>1.0000000000000001E-5</v>
      </c>
      <c r="I64" s="10">
        <v>0</v>
      </c>
    </row>
    <row r="65" spans="1:9" ht="13" x14ac:dyDescent="0.15">
      <c r="A65" s="10" t="s">
        <v>80</v>
      </c>
      <c r="B65" s="10" t="s">
        <v>16</v>
      </c>
      <c r="C65" s="10">
        <v>16</v>
      </c>
      <c r="D65" s="10">
        <v>2.7799999999999998E-2</v>
      </c>
      <c r="E65" s="10">
        <v>2.8E-3</v>
      </c>
      <c r="F65" s="10">
        <v>2.5000000000000001E-4</v>
      </c>
      <c r="G65" s="12">
        <v>2.0000000000000002E-5</v>
      </c>
      <c r="H65" s="10">
        <v>0</v>
      </c>
      <c r="I65" s="10">
        <v>0</v>
      </c>
    </row>
  </sheetData>
  <autoFilter ref="A1:I100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6"/>
  <sheetViews>
    <sheetView defaultGridColor="0" colorId="9" workbookViewId="0">
      <selection activeCell="I17" sqref="I17"/>
    </sheetView>
  </sheetViews>
  <sheetFormatPr baseColWidth="10" defaultColWidth="12.6640625" defaultRowHeight="15.75" customHeight="1" x14ac:dyDescent="0.15"/>
  <cols>
    <col min="1" max="1" width="14" bestFit="1" customWidth="1"/>
    <col min="2" max="2" width="9.1640625" bestFit="1" customWidth="1"/>
    <col min="3" max="3" width="7.83203125" bestFit="1" customWidth="1"/>
    <col min="4" max="4" width="14.33203125" bestFit="1" customWidth="1"/>
    <col min="5" max="5" width="11.5" bestFit="1" customWidth="1"/>
    <col min="6" max="6" width="9" bestFit="1" customWidth="1"/>
    <col min="7" max="7" width="11.83203125" bestFit="1" customWidth="1"/>
    <col min="8" max="8" width="22.1640625" bestFit="1" customWidth="1"/>
    <col min="9" max="9" width="19" bestFit="1" customWidth="1"/>
  </cols>
  <sheetData>
    <row r="1" spans="1:9" ht="15.75" customHeight="1" x14ac:dyDescent="0.15">
      <c r="A1" s="1" t="s">
        <v>0</v>
      </c>
      <c r="B1" s="1" t="s">
        <v>2</v>
      </c>
      <c r="C1" s="1" t="s">
        <v>1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 spans="1:9" ht="15.75" customHeight="1" x14ac:dyDescent="0.15">
      <c r="A2" s="1" t="s">
        <v>17</v>
      </c>
      <c r="B2" s="1" t="s">
        <v>18</v>
      </c>
      <c r="C2" s="1">
        <v>1</v>
      </c>
      <c r="D2" s="2">
        <v>0.96619999999999995</v>
      </c>
      <c r="E2" s="2">
        <v>0.9153</v>
      </c>
      <c r="F2" s="2">
        <v>0.80269999999999997</v>
      </c>
      <c r="G2" s="2">
        <v>0.64100000000000001</v>
      </c>
      <c r="H2" s="2">
        <v>0.49359999999999998</v>
      </c>
      <c r="I2" s="2">
        <v>0.28170000000000001</v>
      </c>
    </row>
    <row r="3" spans="1:9" ht="15.75" customHeight="1" x14ac:dyDescent="0.15">
      <c r="A3" s="1" t="s">
        <v>24</v>
      </c>
      <c r="B3" s="1" t="s">
        <v>18</v>
      </c>
      <c r="C3" s="1">
        <v>2</v>
      </c>
      <c r="D3" s="2">
        <v>0.94599999999999995</v>
      </c>
      <c r="E3" s="2">
        <v>0.79020000000000001</v>
      </c>
      <c r="F3" s="2">
        <v>0.5595</v>
      </c>
      <c r="G3" s="2">
        <v>0.17899999999999999</v>
      </c>
      <c r="H3" s="2">
        <v>8.48E-2</v>
      </c>
      <c r="I3" s="2">
        <v>3.32E-2</v>
      </c>
    </row>
    <row r="4" spans="1:9" ht="15.75" customHeight="1" x14ac:dyDescent="0.15">
      <c r="A4" s="1" t="s">
        <v>29</v>
      </c>
      <c r="B4" s="1" t="s">
        <v>18</v>
      </c>
      <c r="C4" s="1">
        <v>3</v>
      </c>
      <c r="D4" s="2">
        <v>0.91839999999999999</v>
      </c>
      <c r="E4" s="2">
        <v>0.60270000000000001</v>
      </c>
      <c r="F4" s="2">
        <v>0.22869999999999999</v>
      </c>
      <c r="G4" s="2">
        <v>5.8299999999999998E-2</v>
      </c>
      <c r="H4" s="2">
        <v>2.4799999999999999E-2</v>
      </c>
      <c r="I4" s="2">
        <v>1.0500000000000001E-2</v>
      </c>
    </row>
    <row r="5" spans="1:9" ht="15.75" customHeight="1" x14ac:dyDescent="0.15">
      <c r="A5" s="1" t="s">
        <v>27</v>
      </c>
      <c r="B5" s="1" t="s">
        <v>18</v>
      </c>
      <c r="C5" s="1">
        <v>4</v>
      </c>
      <c r="D5" s="2">
        <v>0.85189999999999999</v>
      </c>
      <c r="E5" s="2">
        <v>0.52010000000000001</v>
      </c>
      <c r="F5" s="2">
        <v>8.9800000000000005E-2</v>
      </c>
      <c r="G5" s="2">
        <v>3.9399999999999998E-2</v>
      </c>
      <c r="H5" s="2">
        <v>1.6199999999999999E-2</v>
      </c>
      <c r="I5" s="2">
        <v>7.4999999999999997E-3</v>
      </c>
    </row>
    <row r="6" spans="1:9" ht="15.75" customHeight="1" x14ac:dyDescent="0.15">
      <c r="A6" s="1" t="s">
        <v>43</v>
      </c>
      <c r="B6" s="1" t="s">
        <v>18</v>
      </c>
      <c r="C6" s="1">
        <v>5</v>
      </c>
      <c r="D6" s="2">
        <v>0.79869999999999997</v>
      </c>
      <c r="E6" s="2">
        <v>0.37109999999999999</v>
      </c>
      <c r="F6" s="2">
        <v>5.33E-2</v>
      </c>
      <c r="G6" s="2">
        <v>2.1899999999999999E-2</v>
      </c>
      <c r="H6" s="2">
        <v>8.8999999999999999E-3</v>
      </c>
      <c r="I6" s="2">
        <v>4.1999999999999997E-3</v>
      </c>
    </row>
    <row r="7" spans="1:9" ht="15.75" customHeight="1" x14ac:dyDescent="0.15">
      <c r="A7" s="1" t="s">
        <v>35</v>
      </c>
      <c r="B7" s="1" t="s">
        <v>18</v>
      </c>
      <c r="C7" s="1">
        <v>6</v>
      </c>
      <c r="D7" s="2">
        <v>0.65490000000000004</v>
      </c>
      <c r="E7" s="2">
        <v>0.27910000000000001</v>
      </c>
      <c r="F7" s="2">
        <v>0.11210000000000001</v>
      </c>
      <c r="G7" s="2">
        <v>1.2200000000000001E-2</v>
      </c>
      <c r="H7" s="2">
        <v>4.3E-3</v>
      </c>
      <c r="I7" s="2">
        <v>2.2000000000000001E-3</v>
      </c>
    </row>
    <row r="8" spans="1:9" ht="15.75" customHeight="1" x14ac:dyDescent="0.15">
      <c r="A8" s="1" t="s">
        <v>32</v>
      </c>
      <c r="B8" s="1" t="s">
        <v>18</v>
      </c>
      <c r="C8" s="1">
        <v>7</v>
      </c>
      <c r="D8" s="2">
        <v>0.55259999999999998</v>
      </c>
      <c r="E8" s="2">
        <v>0.1222</v>
      </c>
      <c r="F8" s="2">
        <v>3.6999999999999998E-2</v>
      </c>
      <c r="G8" s="2">
        <v>7.1000000000000004E-3</v>
      </c>
      <c r="H8" s="2">
        <v>2.5000000000000001E-3</v>
      </c>
      <c r="I8" s="2">
        <v>1E-3</v>
      </c>
    </row>
    <row r="9" spans="1:9" ht="15.75" customHeight="1" x14ac:dyDescent="0.15">
      <c r="A9" s="1" t="s">
        <v>59</v>
      </c>
      <c r="B9" s="1" t="s">
        <v>18</v>
      </c>
      <c r="C9" s="1">
        <v>8</v>
      </c>
      <c r="D9" s="2">
        <v>0.42099999999999999</v>
      </c>
      <c r="E9" s="2">
        <v>2.1399999999999999E-2</v>
      </c>
      <c r="F9" s="2">
        <v>9.1000000000000004E-3</v>
      </c>
      <c r="G9" s="2">
        <v>3.2000000000000002E-3</v>
      </c>
      <c r="H9" s="2">
        <v>1.2999999999999999E-3</v>
      </c>
      <c r="I9" s="2">
        <v>5.9999999999999995E-4</v>
      </c>
    </row>
    <row r="10" spans="1:9" ht="15.75" customHeight="1" x14ac:dyDescent="0.15">
      <c r="A10" s="1" t="s">
        <v>51</v>
      </c>
      <c r="B10" s="1" t="s">
        <v>18</v>
      </c>
      <c r="C10" s="1">
        <v>9</v>
      </c>
      <c r="D10" s="2">
        <v>0.54720000000000002</v>
      </c>
      <c r="E10" s="2">
        <v>3.7900000000000003E-2</v>
      </c>
      <c r="F10" s="2">
        <v>1.4800000000000001E-2</v>
      </c>
      <c r="G10" s="2">
        <v>6.7000000000000002E-3</v>
      </c>
      <c r="H10" s="2">
        <v>2.7000000000000001E-3</v>
      </c>
      <c r="I10" s="2">
        <v>1.2999999999999999E-3</v>
      </c>
    </row>
    <row r="11" spans="1:9" ht="15.75" customHeight="1" x14ac:dyDescent="0.15">
      <c r="A11" s="1" t="s">
        <v>67</v>
      </c>
      <c r="B11" s="1" t="s">
        <v>18</v>
      </c>
      <c r="C11" s="1">
        <v>10</v>
      </c>
      <c r="D11" s="2">
        <v>0.41620000000000001</v>
      </c>
      <c r="E11" s="2">
        <v>5.5199999999999999E-2</v>
      </c>
      <c r="F11" s="2">
        <v>1.9900000000000001E-2</v>
      </c>
      <c r="G11" s="2">
        <v>4.1999999999999997E-3</v>
      </c>
      <c r="H11" s="2">
        <v>1.6000000000000001E-3</v>
      </c>
      <c r="I11" s="2">
        <v>6.9999999999999999E-4</v>
      </c>
    </row>
    <row r="12" spans="1:9" ht="15.75" customHeight="1" x14ac:dyDescent="0.15">
      <c r="A12" s="1" t="s">
        <v>40</v>
      </c>
      <c r="B12" s="1" t="s">
        <v>18</v>
      </c>
      <c r="C12" s="1">
        <v>11</v>
      </c>
      <c r="D12" s="2">
        <v>0.31430000000000002</v>
      </c>
      <c r="E12" s="2">
        <v>7.9200000000000007E-2</v>
      </c>
      <c r="F12" s="2">
        <v>1.5299999999999999E-2</v>
      </c>
      <c r="G12" s="2">
        <v>3.0999999999999999E-3</v>
      </c>
      <c r="H12" s="2">
        <v>1.4E-3</v>
      </c>
      <c r="I12" s="2">
        <v>5.9999999999999995E-4</v>
      </c>
    </row>
    <row r="13" spans="1:9" ht="15.75" customHeight="1" x14ac:dyDescent="0.15">
      <c r="A13" s="1" t="s">
        <v>60</v>
      </c>
      <c r="B13" s="1" t="s">
        <v>18</v>
      </c>
      <c r="C13" s="1">
        <v>12</v>
      </c>
      <c r="D13" s="2">
        <v>0.17219999999999999</v>
      </c>
      <c r="E13" s="2">
        <v>4.4999999999999998E-2</v>
      </c>
      <c r="F13" s="2">
        <v>5.7000000000000002E-3</v>
      </c>
      <c r="G13" s="2">
        <v>2.5000000000000001E-3</v>
      </c>
      <c r="H13" s="2">
        <v>1.1000000000000001E-3</v>
      </c>
      <c r="I13" s="2">
        <v>5.0000000000000001E-4</v>
      </c>
    </row>
    <row r="14" spans="1:9" ht="15.75" customHeight="1" x14ac:dyDescent="0.15">
      <c r="A14" s="1" t="s">
        <v>72</v>
      </c>
      <c r="B14" s="1" t="s">
        <v>18</v>
      </c>
      <c r="C14" s="1">
        <v>13</v>
      </c>
      <c r="D14" s="2">
        <v>0.1202</v>
      </c>
      <c r="E14" s="2">
        <v>4.2299999999999997E-2</v>
      </c>
      <c r="F14" s="2">
        <v>6.1999999999999998E-3</v>
      </c>
      <c r="G14" s="2">
        <v>2.3999999999999998E-3</v>
      </c>
      <c r="H14" s="2">
        <v>1.1000000000000001E-3</v>
      </c>
      <c r="I14" s="2">
        <v>5.9999999999999995E-4</v>
      </c>
    </row>
    <row r="15" spans="1:9" ht="15.75" customHeight="1" x14ac:dyDescent="0.15">
      <c r="A15" s="1" t="s">
        <v>70</v>
      </c>
      <c r="B15" s="1" t="s">
        <v>18</v>
      </c>
      <c r="C15" s="1">
        <v>14</v>
      </c>
      <c r="D15" s="2">
        <v>5.57E-2</v>
      </c>
      <c r="E15" s="2">
        <v>1.77E-2</v>
      </c>
      <c r="F15" s="2">
        <v>5.4000000000000003E-3</v>
      </c>
      <c r="G15" s="2">
        <v>2.3E-3</v>
      </c>
      <c r="H15" s="2">
        <v>1E-3</v>
      </c>
      <c r="I15" s="2">
        <v>5.0000000000000001E-4</v>
      </c>
    </row>
    <row r="16" spans="1:9" ht="15.75" customHeight="1" x14ac:dyDescent="0.15">
      <c r="A16" s="1" t="s">
        <v>71</v>
      </c>
      <c r="B16" s="1" t="s">
        <v>18</v>
      </c>
      <c r="C16" s="1">
        <v>15</v>
      </c>
      <c r="D16" s="2">
        <v>3.2300000000000002E-2</v>
      </c>
      <c r="E16" s="2">
        <v>1.23E-2</v>
      </c>
      <c r="F16" s="2">
        <v>5.4000000000000003E-3</v>
      </c>
      <c r="G16" s="2">
        <v>2.2000000000000001E-3</v>
      </c>
      <c r="H16" s="2">
        <v>8.9999999999999998E-4</v>
      </c>
      <c r="I16" s="2">
        <v>4.0000000000000002E-4</v>
      </c>
    </row>
    <row r="17" spans="1:9" ht="15.75" customHeight="1" x14ac:dyDescent="0.15">
      <c r="A17" s="1" t="s">
        <v>73</v>
      </c>
      <c r="B17" s="1" t="s">
        <v>18</v>
      </c>
      <c r="C17" s="1">
        <v>16</v>
      </c>
      <c r="D17" s="2">
        <v>1.6299999999999999E-2</v>
      </c>
      <c r="E17" s="2">
        <v>7.4999999999999997E-3</v>
      </c>
      <c r="F17" s="2">
        <v>3.8E-3</v>
      </c>
      <c r="G17" s="2">
        <v>2.2000000000000001E-3</v>
      </c>
      <c r="H17" s="2">
        <v>1E-3</v>
      </c>
      <c r="I17" s="2">
        <v>4.0000000000000002E-4</v>
      </c>
    </row>
    <row r="18" spans="1:9" ht="15.75" customHeight="1" x14ac:dyDescent="0.15">
      <c r="A18" s="1" t="s">
        <v>13</v>
      </c>
      <c r="B18" s="1" t="s">
        <v>14</v>
      </c>
      <c r="C18" s="1">
        <v>1</v>
      </c>
      <c r="D18" s="2">
        <v>0.95669999999999999</v>
      </c>
      <c r="E18" s="2">
        <v>0.78710000000000002</v>
      </c>
      <c r="F18" s="2">
        <v>0.66549999999999998</v>
      </c>
      <c r="G18" s="2">
        <v>0.442</v>
      </c>
      <c r="H18" s="2">
        <v>0.16470000000000001</v>
      </c>
      <c r="I18" s="2">
        <v>8.4599999999999995E-2</v>
      </c>
    </row>
    <row r="19" spans="1:9" ht="15.75" customHeight="1" x14ac:dyDescent="0.15">
      <c r="A19" s="1" t="s">
        <v>23</v>
      </c>
      <c r="B19" s="1" t="s">
        <v>14</v>
      </c>
      <c r="C19" s="1">
        <v>2</v>
      </c>
      <c r="D19" s="2">
        <v>0.94169999999999998</v>
      </c>
      <c r="E19" s="2">
        <v>0.77910000000000001</v>
      </c>
      <c r="F19" s="2">
        <v>0.55110000000000003</v>
      </c>
      <c r="G19" s="2">
        <v>0.25119999999999998</v>
      </c>
      <c r="H19" s="2">
        <v>8.2600000000000007E-2</v>
      </c>
      <c r="I19" s="2">
        <v>3.3599999999999998E-2</v>
      </c>
    </row>
    <row r="20" spans="1:9" ht="15.75" customHeight="1" x14ac:dyDescent="0.15">
      <c r="A20" s="1" t="s">
        <v>42</v>
      </c>
      <c r="B20" s="1" t="s">
        <v>14</v>
      </c>
      <c r="C20" s="1">
        <v>3</v>
      </c>
      <c r="D20" s="2">
        <v>0.92090000000000005</v>
      </c>
      <c r="E20" s="2">
        <v>0.63739999999999997</v>
      </c>
      <c r="F20" s="2">
        <v>0.252</v>
      </c>
      <c r="G20" s="2">
        <v>0.1205</v>
      </c>
      <c r="H20" s="2">
        <v>4.4600000000000001E-2</v>
      </c>
      <c r="I20" s="2">
        <v>1.9099999999999999E-2</v>
      </c>
    </row>
    <row r="21" spans="1:9" ht="15.75" customHeight="1" x14ac:dyDescent="0.15">
      <c r="A21" s="1" t="s">
        <v>47</v>
      </c>
      <c r="B21" s="1" t="s">
        <v>14</v>
      </c>
      <c r="C21" s="1">
        <v>4</v>
      </c>
      <c r="D21" s="2">
        <v>0.82350000000000001</v>
      </c>
      <c r="E21" s="2">
        <v>0.40039999999999998</v>
      </c>
      <c r="F21" s="2">
        <v>9.8299999999999998E-2</v>
      </c>
      <c r="G21" s="2">
        <v>3.4500000000000003E-2</v>
      </c>
      <c r="H21" s="2">
        <v>1.17E-2</v>
      </c>
      <c r="I21" s="2">
        <v>5.5999999999999999E-3</v>
      </c>
    </row>
    <row r="22" spans="1:9" ht="15.75" customHeight="1" x14ac:dyDescent="0.15">
      <c r="A22" s="1" t="s">
        <v>28</v>
      </c>
      <c r="B22" s="1" t="s">
        <v>14</v>
      </c>
      <c r="C22" s="1">
        <v>5</v>
      </c>
      <c r="D22" s="2">
        <v>0.82420000000000004</v>
      </c>
      <c r="E22" s="2">
        <v>0.48620000000000002</v>
      </c>
      <c r="F22" s="2">
        <v>0.1045</v>
      </c>
      <c r="G22" s="2">
        <v>3.9E-2</v>
      </c>
      <c r="H22" s="2">
        <v>1.11E-2</v>
      </c>
      <c r="I22" s="2">
        <v>4.1000000000000003E-3</v>
      </c>
    </row>
    <row r="23" spans="1:9" ht="15.75" customHeight="1" x14ac:dyDescent="0.15">
      <c r="A23" s="1" t="s">
        <v>36</v>
      </c>
      <c r="B23" s="1" t="s">
        <v>14</v>
      </c>
      <c r="C23" s="1">
        <v>6</v>
      </c>
      <c r="D23" s="2">
        <v>0.73860000000000003</v>
      </c>
      <c r="E23" s="2">
        <v>0.26400000000000001</v>
      </c>
      <c r="F23" s="2">
        <v>9.8500000000000004E-2</v>
      </c>
      <c r="G23" s="2">
        <v>1.7600000000000001E-2</v>
      </c>
      <c r="H23" s="2">
        <v>5.4999999999999997E-3</v>
      </c>
      <c r="I23" s="2">
        <v>2.5999999999999999E-3</v>
      </c>
    </row>
    <row r="24" spans="1:9" ht="15.75" customHeight="1" x14ac:dyDescent="0.15">
      <c r="A24" s="1" t="s">
        <v>52</v>
      </c>
      <c r="B24" s="1" t="s">
        <v>14</v>
      </c>
      <c r="C24" s="1">
        <v>7</v>
      </c>
      <c r="D24" s="2">
        <v>0.65259999999999996</v>
      </c>
      <c r="E24" s="2">
        <v>0.1547</v>
      </c>
      <c r="F24" s="2">
        <v>4.7600000000000003E-2</v>
      </c>
      <c r="G24" s="2">
        <v>1.9400000000000001E-2</v>
      </c>
      <c r="H24" s="2">
        <v>6.4000000000000003E-3</v>
      </c>
      <c r="I24" s="2">
        <v>3.7000000000000002E-3</v>
      </c>
    </row>
    <row r="25" spans="1:9" ht="15.75" customHeight="1" x14ac:dyDescent="0.15">
      <c r="A25" s="1" t="s">
        <v>30</v>
      </c>
      <c r="B25" s="1" t="s">
        <v>14</v>
      </c>
      <c r="C25" s="1">
        <v>8</v>
      </c>
      <c r="D25" s="2">
        <v>0.69179999999999997</v>
      </c>
      <c r="E25" s="2">
        <v>0.12959999999999999</v>
      </c>
      <c r="F25" s="2">
        <v>7.3200000000000001E-2</v>
      </c>
      <c r="G25" s="2">
        <v>3.1699999999999999E-2</v>
      </c>
      <c r="H25" s="2">
        <v>1.12E-2</v>
      </c>
      <c r="I25" s="2">
        <v>6.0000000000000001E-3</v>
      </c>
    </row>
    <row r="26" spans="1:9" ht="15.75" customHeight="1" x14ac:dyDescent="0.15">
      <c r="A26" s="1" t="s">
        <v>57</v>
      </c>
      <c r="B26" s="1" t="s">
        <v>14</v>
      </c>
      <c r="C26" s="1">
        <v>9</v>
      </c>
      <c r="D26" s="2">
        <v>0.27629999999999999</v>
      </c>
      <c r="E26" s="2">
        <v>5.4300000000000001E-2</v>
      </c>
      <c r="F26" s="2">
        <v>2.4199999999999999E-2</v>
      </c>
      <c r="G26" s="2">
        <v>1.04E-2</v>
      </c>
      <c r="H26" s="2">
        <v>6.4000000000000003E-3</v>
      </c>
      <c r="I26" s="2">
        <v>4.5999999999999999E-3</v>
      </c>
    </row>
    <row r="27" spans="1:9" ht="15.75" customHeight="1" x14ac:dyDescent="0.15">
      <c r="A27" s="1" t="s">
        <v>58</v>
      </c>
      <c r="B27" s="1" t="s">
        <v>14</v>
      </c>
      <c r="C27" s="1">
        <v>10</v>
      </c>
      <c r="D27" s="2">
        <v>0.313</v>
      </c>
      <c r="E27" s="2">
        <v>3.1800000000000002E-2</v>
      </c>
      <c r="F27" s="2">
        <v>9.7000000000000003E-3</v>
      </c>
      <c r="G27" s="2">
        <v>2.8999999999999998E-3</v>
      </c>
      <c r="H27" s="2">
        <v>1.1000000000000001E-3</v>
      </c>
      <c r="I27" s="2">
        <v>4.0000000000000002E-4</v>
      </c>
    </row>
    <row r="28" spans="1:9" ht="15.75" customHeight="1" x14ac:dyDescent="0.15">
      <c r="A28" s="1" t="s">
        <v>50</v>
      </c>
      <c r="B28" s="1" t="s">
        <v>14</v>
      </c>
      <c r="C28" s="1">
        <v>11</v>
      </c>
      <c r="D28" s="2">
        <v>0.22459999999999999</v>
      </c>
      <c r="E28" s="2">
        <v>5.7099999999999998E-2</v>
      </c>
      <c r="F28" s="2">
        <v>1.0699999999999999E-2</v>
      </c>
      <c r="G28" s="2">
        <v>3.2000000000000002E-3</v>
      </c>
      <c r="H28" s="2">
        <v>1.2999999999999999E-3</v>
      </c>
      <c r="I28" s="2">
        <v>6.9999999999999999E-4</v>
      </c>
    </row>
    <row r="29" spans="1:9" ht="15.75" customHeight="1" x14ac:dyDescent="0.15">
      <c r="A29" s="1" t="s">
        <v>64</v>
      </c>
      <c r="B29" s="1" t="s">
        <v>14</v>
      </c>
      <c r="C29" s="1">
        <v>12</v>
      </c>
      <c r="D29" s="2">
        <v>0.14419999999999999</v>
      </c>
      <c r="E29" s="2">
        <v>5.0999999999999997E-2</v>
      </c>
      <c r="F29" s="2">
        <v>6.7000000000000002E-3</v>
      </c>
      <c r="G29" s="2">
        <v>2.5000000000000001E-3</v>
      </c>
      <c r="H29" s="2">
        <v>1E-3</v>
      </c>
      <c r="I29" s="2">
        <v>4.0000000000000002E-4</v>
      </c>
    </row>
    <row r="30" spans="1:9" ht="15.75" customHeight="1" x14ac:dyDescent="0.15">
      <c r="A30" s="1" t="s">
        <v>65</v>
      </c>
      <c r="B30" s="1" t="s">
        <v>14</v>
      </c>
      <c r="C30" s="1">
        <v>13</v>
      </c>
      <c r="D30" s="2">
        <v>0.1452</v>
      </c>
      <c r="E30" s="2">
        <v>3.9300000000000002E-2</v>
      </c>
      <c r="F30" s="2">
        <v>6.0000000000000001E-3</v>
      </c>
      <c r="G30" s="2">
        <v>2.7000000000000001E-3</v>
      </c>
      <c r="H30" s="2">
        <v>1E-3</v>
      </c>
      <c r="I30" s="2">
        <v>5.0000000000000001E-4</v>
      </c>
    </row>
    <row r="31" spans="1:9" ht="15.75" customHeight="1" x14ac:dyDescent="0.15">
      <c r="A31" s="1" t="s">
        <v>69</v>
      </c>
      <c r="B31" s="1" t="s">
        <v>14</v>
      </c>
      <c r="C31" s="1">
        <v>14</v>
      </c>
      <c r="D31" s="2">
        <v>4.9700000000000001E-2</v>
      </c>
      <c r="E31" s="2">
        <v>1.66E-2</v>
      </c>
      <c r="F31" s="2">
        <v>4.7999999999999996E-3</v>
      </c>
      <c r="G31" s="2">
        <v>2E-3</v>
      </c>
      <c r="H31" s="2">
        <v>8.9999999999999998E-4</v>
      </c>
      <c r="I31" s="2">
        <v>4.0000000000000002E-4</v>
      </c>
    </row>
    <row r="32" spans="1:9" ht="15.75" customHeight="1" x14ac:dyDescent="0.15">
      <c r="A32" s="1" t="s">
        <v>74</v>
      </c>
      <c r="B32" s="1" t="s">
        <v>14</v>
      </c>
      <c r="C32" s="1">
        <v>15</v>
      </c>
      <c r="D32" s="2">
        <v>3.3599999999999998E-2</v>
      </c>
      <c r="E32" s="2">
        <v>1.2800000000000001E-2</v>
      </c>
      <c r="F32" s="2">
        <v>6.4000000000000003E-3</v>
      </c>
      <c r="G32" s="2">
        <v>2.3999999999999998E-3</v>
      </c>
      <c r="H32" s="2">
        <v>1.1999999999999999E-3</v>
      </c>
      <c r="I32" s="2">
        <v>5.0000000000000001E-4</v>
      </c>
    </row>
    <row r="33" spans="1:9" ht="15.75" customHeight="1" x14ac:dyDescent="0.15">
      <c r="A33" s="1" t="s">
        <v>75</v>
      </c>
      <c r="B33" s="1" t="s">
        <v>14</v>
      </c>
      <c r="C33" s="1">
        <v>16</v>
      </c>
      <c r="D33" s="2">
        <v>2.1399999999999999E-2</v>
      </c>
      <c r="E33" s="2">
        <v>8.3999999999999995E-3</v>
      </c>
      <c r="F33" s="2">
        <v>4.1999999999999997E-3</v>
      </c>
      <c r="G33" s="2">
        <v>2.3999999999999998E-3</v>
      </c>
      <c r="H33" s="2">
        <v>1.1000000000000001E-3</v>
      </c>
      <c r="I33" s="2">
        <v>5.0000000000000001E-4</v>
      </c>
    </row>
    <row r="34" spans="1:9" ht="15.75" customHeight="1" x14ac:dyDescent="0.15">
      <c r="A34" s="1" t="s">
        <v>19</v>
      </c>
      <c r="B34" s="1" t="s">
        <v>20</v>
      </c>
      <c r="C34" s="1">
        <v>1</v>
      </c>
      <c r="D34" s="2">
        <v>0.98099999999999998</v>
      </c>
      <c r="E34" s="2">
        <v>0.873</v>
      </c>
      <c r="F34" s="2">
        <v>0.7248</v>
      </c>
      <c r="G34" s="2">
        <v>0.5181</v>
      </c>
      <c r="H34" s="2">
        <v>0.27789999999999998</v>
      </c>
      <c r="I34" s="2">
        <v>0.14119999999999999</v>
      </c>
    </row>
    <row r="35" spans="1:9" ht="15.75" customHeight="1" x14ac:dyDescent="0.15">
      <c r="A35" s="1" t="s">
        <v>22</v>
      </c>
      <c r="B35" s="1" t="s">
        <v>20</v>
      </c>
      <c r="C35" s="1">
        <v>2</v>
      </c>
      <c r="D35" s="2">
        <v>0.9587</v>
      </c>
      <c r="E35" s="2">
        <v>0.79210000000000003</v>
      </c>
      <c r="F35" s="2">
        <v>0.58699999999999997</v>
      </c>
      <c r="G35" s="2">
        <v>0.25180000000000002</v>
      </c>
      <c r="H35" s="2">
        <v>0.1037</v>
      </c>
      <c r="I35" s="2">
        <v>4.36E-2</v>
      </c>
    </row>
    <row r="36" spans="1:9" ht="15.75" customHeight="1" x14ac:dyDescent="0.15">
      <c r="A36" s="1" t="s">
        <v>31</v>
      </c>
      <c r="B36" s="1" t="s">
        <v>20</v>
      </c>
      <c r="C36" s="1">
        <v>3</v>
      </c>
      <c r="D36" s="2">
        <v>0.92869999999999997</v>
      </c>
      <c r="E36" s="2">
        <v>0.63629999999999998</v>
      </c>
      <c r="F36" s="2">
        <v>0.22209999999999999</v>
      </c>
      <c r="G36" s="2">
        <v>6.4100000000000004E-2</v>
      </c>
      <c r="H36" s="2">
        <v>2.23E-2</v>
      </c>
      <c r="I36" s="2">
        <v>6.4000000000000003E-3</v>
      </c>
    </row>
    <row r="37" spans="1:9" ht="15.75" customHeight="1" x14ac:dyDescent="0.15">
      <c r="A37" s="1" t="s">
        <v>38</v>
      </c>
      <c r="B37" s="1" t="s">
        <v>20</v>
      </c>
      <c r="C37" s="1">
        <v>4</v>
      </c>
      <c r="D37" s="2">
        <v>0.77529999999999999</v>
      </c>
      <c r="E37" s="2">
        <v>0.35239999999999999</v>
      </c>
      <c r="F37" s="2">
        <v>6.4899999999999999E-2</v>
      </c>
      <c r="G37" s="2">
        <v>2.7400000000000001E-2</v>
      </c>
      <c r="H37" s="2">
        <v>9.2999999999999992E-3</v>
      </c>
      <c r="I37" s="2">
        <v>3.0999999999999999E-3</v>
      </c>
    </row>
    <row r="38" spans="1:9" ht="15.75" customHeight="1" x14ac:dyDescent="0.15">
      <c r="A38" s="1" t="s">
        <v>37</v>
      </c>
      <c r="B38" s="1" t="s">
        <v>20</v>
      </c>
      <c r="C38" s="1">
        <v>5</v>
      </c>
      <c r="D38" s="2">
        <v>0.79320000000000002</v>
      </c>
      <c r="E38" s="2">
        <v>0.50360000000000005</v>
      </c>
      <c r="F38" s="2">
        <v>0.121</v>
      </c>
      <c r="G38" s="2">
        <v>5.3199999999999997E-2</v>
      </c>
      <c r="H38" s="2">
        <v>2.3900000000000001E-2</v>
      </c>
      <c r="I38" s="2">
        <v>1.1599999999999999E-2</v>
      </c>
    </row>
    <row r="39" spans="1:9" ht="15.75" customHeight="1" x14ac:dyDescent="0.15">
      <c r="A39" s="1" t="s">
        <v>55</v>
      </c>
      <c r="B39" s="1" t="s">
        <v>20</v>
      </c>
      <c r="C39" s="1">
        <v>6</v>
      </c>
      <c r="D39" s="2">
        <v>0.65720000000000001</v>
      </c>
      <c r="E39" s="2">
        <v>0.22889999999999999</v>
      </c>
      <c r="F39" s="2">
        <v>8.6499999999999994E-2</v>
      </c>
      <c r="G39" s="2">
        <v>1.2999999999999999E-2</v>
      </c>
      <c r="H39" s="2">
        <v>6.6E-3</v>
      </c>
      <c r="I39" s="2">
        <v>1.4E-3</v>
      </c>
    </row>
    <row r="40" spans="1:9" ht="15.75" customHeight="1" x14ac:dyDescent="0.15">
      <c r="A40" s="1" t="s">
        <v>41</v>
      </c>
      <c r="B40" s="1" t="s">
        <v>20</v>
      </c>
      <c r="C40" s="1">
        <v>7</v>
      </c>
      <c r="D40" s="2">
        <v>0.64439999999999997</v>
      </c>
      <c r="E40" s="2">
        <v>0.14580000000000001</v>
      </c>
      <c r="F40" s="2">
        <v>5.0900000000000001E-2</v>
      </c>
      <c r="G40" s="2">
        <v>1.1599999999999999E-2</v>
      </c>
      <c r="H40" s="2">
        <v>3.8E-3</v>
      </c>
      <c r="I40" s="2">
        <v>1.5E-3</v>
      </c>
    </row>
    <row r="41" spans="1:9" ht="15.75" customHeight="1" x14ac:dyDescent="0.15">
      <c r="A41" s="1" t="s">
        <v>33</v>
      </c>
      <c r="B41" s="1" t="s">
        <v>20</v>
      </c>
      <c r="C41" s="1">
        <v>8</v>
      </c>
      <c r="D41" s="2">
        <v>0.54449999999999998</v>
      </c>
      <c r="E41" s="2">
        <v>6.4799999999999996E-2</v>
      </c>
      <c r="F41" s="2">
        <v>3.6999999999999998E-2</v>
      </c>
      <c r="G41" s="2">
        <v>1.9900000000000001E-2</v>
      </c>
      <c r="H41" s="2">
        <v>4.3E-3</v>
      </c>
      <c r="I41" s="2">
        <v>1.8E-3</v>
      </c>
    </row>
    <row r="42" spans="1:9" ht="15.75" customHeight="1" x14ac:dyDescent="0.15">
      <c r="A42" s="1" t="s">
        <v>44</v>
      </c>
      <c r="B42" s="1" t="s">
        <v>20</v>
      </c>
      <c r="C42" s="1">
        <v>9</v>
      </c>
      <c r="D42" s="2">
        <v>0.43909999999999999</v>
      </c>
      <c r="E42" s="2">
        <v>4.5699999999999998E-2</v>
      </c>
      <c r="F42" s="2">
        <v>2.0199999999999999E-2</v>
      </c>
      <c r="G42" s="2">
        <v>7.9000000000000008E-3</v>
      </c>
      <c r="H42" s="2">
        <v>2.8E-3</v>
      </c>
      <c r="I42" s="2">
        <v>1.2999999999999999E-3</v>
      </c>
    </row>
    <row r="43" spans="1:9" ht="15.75" customHeight="1" x14ac:dyDescent="0.15">
      <c r="A43" s="1" t="s">
        <v>48</v>
      </c>
      <c r="B43" s="1" t="s">
        <v>20</v>
      </c>
      <c r="C43" s="1">
        <v>10</v>
      </c>
      <c r="D43" s="2">
        <v>0.3367</v>
      </c>
      <c r="E43" s="2">
        <v>3.8699999999999998E-2</v>
      </c>
      <c r="F43" s="2">
        <v>1.3599999999999999E-2</v>
      </c>
      <c r="G43" s="2">
        <v>3.5000000000000001E-3</v>
      </c>
      <c r="H43" s="2">
        <v>1.2999999999999999E-3</v>
      </c>
      <c r="I43" s="2">
        <v>5.9999999999999995E-4</v>
      </c>
    </row>
    <row r="44" spans="1:9" ht="15.75" customHeight="1" x14ac:dyDescent="0.15">
      <c r="A44" s="1" t="s">
        <v>39</v>
      </c>
      <c r="B44" s="1" t="s">
        <v>20</v>
      </c>
      <c r="C44" s="1">
        <v>11</v>
      </c>
      <c r="D44" s="2">
        <v>0.31950000000000001</v>
      </c>
      <c r="E44" s="2">
        <v>0.1023</v>
      </c>
      <c r="F44" s="2">
        <v>2.0299999999999999E-2</v>
      </c>
      <c r="G44" s="2">
        <v>6.4999999999999997E-3</v>
      </c>
      <c r="H44" s="2">
        <v>3.3E-3</v>
      </c>
      <c r="I44" s="2">
        <v>2.2000000000000001E-3</v>
      </c>
    </row>
    <row r="45" spans="1:9" ht="15.75" customHeight="1" x14ac:dyDescent="0.15">
      <c r="A45" s="1" t="s">
        <v>46</v>
      </c>
      <c r="B45" s="1" t="s">
        <v>20</v>
      </c>
      <c r="C45" s="1">
        <v>12</v>
      </c>
      <c r="D45" s="2">
        <v>0.19309999999999999</v>
      </c>
      <c r="E45" s="2">
        <v>8.2699999999999996E-2</v>
      </c>
      <c r="F45" s="2">
        <v>1.15E-2</v>
      </c>
      <c r="G45" s="2">
        <v>5.1999999999999998E-3</v>
      </c>
      <c r="H45" s="2">
        <v>2.0999999999999999E-3</v>
      </c>
      <c r="I45" s="2">
        <v>8.9999999999999998E-4</v>
      </c>
    </row>
    <row r="46" spans="1:9" ht="15.75" customHeight="1" x14ac:dyDescent="0.15">
      <c r="A46" s="1" t="s">
        <v>63</v>
      </c>
      <c r="B46" s="1" t="s">
        <v>20</v>
      </c>
      <c r="C46" s="1">
        <v>13</v>
      </c>
      <c r="D46" s="2">
        <v>0.20899999999999999</v>
      </c>
      <c r="E46" s="2">
        <v>4.9599999999999998E-2</v>
      </c>
      <c r="F46" s="2">
        <v>9.5999999999999992E-3</v>
      </c>
      <c r="G46" s="2">
        <v>5.4000000000000003E-3</v>
      </c>
      <c r="H46" s="2">
        <v>3.3E-3</v>
      </c>
      <c r="I46" s="2">
        <v>2.0999999999999999E-3</v>
      </c>
    </row>
    <row r="47" spans="1:9" ht="15.75" customHeight="1" x14ac:dyDescent="0.15">
      <c r="A47" s="1" t="s">
        <v>68</v>
      </c>
      <c r="B47" s="1" t="s">
        <v>20</v>
      </c>
      <c r="C47" s="1">
        <v>14</v>
      </c>
      <c r="D47" s="2">
        <v>5.7299999999999997E-2</v>
      </c>
      <c r="E47" s="2">
        <v>1.8100000000000002E-2</v>
      </c>
      <c r="F47" s="2">
        <v>4.5999999999999999E-3</v>
      </c>
      <c r="G47" s="2">
        <v>1.6999999999999999E-3</v>
      </c>
      <c r="H47" s="2">
        <v>6.9999999999999999E-4</v>
      </c>
      <c r="I47" s="2">
        <v>2.9999999999999997E-4</v>
      </c>
    </row>
    <row r="48" spans="1:9" ht="15.75" customHeight="1" x14ac:dyDescent="0.15">
      <c r="A48" s="1" t="s">
        <v>76</v>
      </c>
      <c r="B48" s="1" t="s">
        <v>20</v>
      </c>
      <c r="C48" s="1">
        <v>15</v>
      </c>
      <c r="D48" s="2">
        <v>3.2500000000000001E-2</v>
      </c>
      <c r="E48" s="2">
        <v>1.3299999999999999E-2</v>
      </c>
      <c r="F48" s="2">
        <v>6.4000000000000003E-3</v>
      </c>
      <c r="G48" s="2">
        <v>2.5000000000000001E-3</v>
      </c>
      <c r="H48" s="2">
        <v>8.9999999999999998E-4</v>
      </c>
      <c r="I48" s="2">
        <v>4.0000000000000002E-4</v>
      </c>
    </row>
    <row r="49" spans="1:9" ht="15.75" customHeight="1" x14ac:dyDescent="0.15">
      <c r="A49" s="1" t="s">
        <v>77</v>
      </c>
      <c r="B49" s="1" t="s">
        <v>20</v>
      </c>
      <c r="C49" s="1">
        <v>16</v>
      </c>
      <c r="D49" s="2">
        <v>1.6199999999999999E-2</v>
      </c>
      <c r="E49" s="2">
        <v>7.0000000000000001E-3</v>
      </c>
      <c r="F49" s="2">
        <v>3.8E-3</v>
      </c>
      <c r="G49" s="2">
        <v>2.0999999999999999E-3</v>
      </c>
      <c r="H49" s="2">
        <v>1E-3</v>
      </c>
      <c r="I49" s="2">
        <v>5.0000000000000001E-4</v>
      </c>
    </row>
    <row r="50" spans="1:9" ht="13" x14ac:dyDescent="0.15">
      <c r="A50" s="1" t="s">
        <v>15</v>
      </c>
      <c r="B50" s="1" t="s">
        <v>16</v>
      </c>
      <c r="C50" s="1">
        <v>1</v>
      </c>
      <c r="D50" s="2">
        <v>0.96379999999999999</v>
      </c>
      <c r="E50" s="2">
        <v>0.84250000000000003</v>
      </c>
      <c r="F50" s="2">
        <v>0.74009999999999998</v>
      </c>
      <c r="G50" s="2">
        <v>0.54649999999999999</v>
      </c>
      <c r="H50" s="2">
        <v>0.31690000000000002</v>
      </c>
      <c r="I50" s="2">
        <v>0.1741</v>
      </c>
    </row>
    <row r="51" spans="1:9" ht="13" x14ac:dyDescent="0.15">
      <c r="A51" s="1" t="s">
        <v>21</v>
      </c>
      <c r="B51" s="1" t="s">
        <v>16</v>
      </c>
      <c r="C51" s="1">
        <v>2</v>
      </c>
      <c r="D51" s="2">
        <v>0.93899999999999995</v>
      </c>
      <c r="E51" s="2">
        <v>0.67530000000000001</v>
      </c>
      <c r="F51" s="2">
        <v>0.49249999999999999</v>
      </c>
      <c r="G51" s="2">
        <v>0.2019</v>
      </c>
      <c r="H51" s="2">
        <v>0.1133</v>
      </c>
      <c r="I51" s="2">
        <v>5.0700000000000002E-2</v>
      </c>
    </row>
    <row r="52" spans="1:9" ht="13" x14ac:dyDescent="0.15">
      <c r="A52" s="1" t="s">
        <v>26</v>
      </c>
      <c r="B52" s="1" t="s">
        <v>16</v>
      </c>
      <c r="C52" s="1">
        <v>3</v>
      </c>
      <c r="D52" s="2">
        <v>0.91390000000000005</v>
      </c>
      <c r="E52" s="2">
        <v>0.61439999999999995</v>
      </c>
      <c r="F52" s="2">
        <v>0.24060000000000001</v>
      </c>
      <c r="G52" s="2">
        <v>6.9900000000000004E-2</v>
      </c>
      <c r="H52" s="2">
        <v>2.47E-2</v>
      </c>
      <c r="I52" s="2">
        <v>7.4000000000000003E-3</v>
      </c>
    </row>
    <row r="53" spans="1:9" ht="13" x14ac:dyDescent="0.15">
      <c r="A53" s="1" t="s">
        <v>25</v>
      </c>
      <c r="B53" s="1" t="s">
        <v>16</v>
      </c>
      <c r="C53" s="1">
        <v>4</v>
      </c>
      <c r="D53" s="2">
        <v>0.83889999999999998</v>
      </c>
      <c r="E53" s="2">
        <v>0.52680000000000005</v>
      </c>
      <c r="F53" s="2">
        <v>9.64E-2</v>
      </c>
      <c r="G53" s="2">
        <v>4.4900000000000002E-2</v>
      </c>
      <c r="H53" s="2">
        <v>1.7000000000000001E-2</v>
      </c>
      <c r="I53" s="2">
        <v>6.8999999999999999E-3</v>
      </c>
    </row>
    <row r="54" spans="1:9" ht="13" x14ac:dyDescent="0.15">
      <c r="A54" s="1" t="s">
        <v>49</v>
      </c>
      <c r="B54" s="1" t="s">
        <v>16</v>
      </c>
      <c r="C54" s="1">
        <v>5</v>
      </c>
      <c r="D54" s="2">
        <v>0.69359999999999999</v>
      </c>
      <c r="E54" s="2">
        <v>0.33879999999999999</v>
      </c>
      <c r="F54" s="2">
        <v>4.7899999999999998E-2</v>
      </c>
      <c r="G54" s="2">
        <v>1.7500000000000002E-2</v>
      </c>
      <c r="H54" s="2">
        <v>6.3E-3</v>
      </c>
      <c r="I54" s="2">
        <v>2.3E-3</v>
      </c>
    </row>
    <row r="55" spans="1:9" ht="13" x14ac:dyDescent="0.15">
      <c r="A55" s="1" t="s">
        <v>56</v>
      </c>
      <c r="B55" s="1" t="s">
        <v>16</v>
      </c>
      <c r="C55" s="1">
        <v>6</v>
      </c>
      <c r="D55" s="2">
        <v>0.5877</v>
      </c>
      <c r="E55" s="2">
        <v>0.22539999999999999</v>
      </c>
      <c r="F55" s="2">
        <v>8.6199999999999999E-2</v>
      </c>
      <c r="G55" s="2">
        <v>1.14E-2</v>
      </c>
      <c r="H55" s="2">
        <v>4.3E-3</v>
      </c>
      <c r="I55" s="2">
        <v>2.2000000000000001E-3</v>
      </c>
    </row>
    <row r="56" spans="1:9" ht="13" x14ac:dyDescent="0.15">
      <c r="A56" s="1" t="s">
        <v>53</v>
      </c>
      <c r="B56" s="1" t="s">
        <v>16</v>
      </c>
      <c r="C56" s="1">
        <v>7</v>
      </c>
      <c r="D56" s="2">
        <v>0.62470000000000003</v>
      </c>
      <c r="E56" s="2">
        <v>0.23180000000000001</v>
      </c>
      <c r="F56" s="2">
        <v>0.1075</v>
      </c>
      <c r="G56" s="2">
        <v>3.7600000000000001E-2</v>
      </c>
      <c r="H56" s="2">
        <v>2.01E-2</v>
      </c>
      <c r="I56" s="2">
        <v>1.0699999999999999E-2</v>
      </c>
    </row>
    <row r="57" spans="1:9" ht="13" x14ac:dyDescent="0.15">
      <c r="A57" s="1" t="s">
        <v>34</v>
      </c>
      <c r="B57" s="1" t="s">
        <v>16</v>
      </c>
      <c r="C57" s="1">
        <v>8</v>
      </c>
      <c r="D57" s="2">
        <v>0.67449999999999999</v>
      </c>
      <c r="E57" s="2">
        <v>0.1055</v>
      </c>
      <c r="F57" s="2">
        <v>7.0099999999999996E-2</v>
      </c>
      <c r="G57" s="2">
        <v>2.9700000000000001E-2</v>
      </c>
      <c r="H57" s="2">
        <v>1.6E-2</v>
      </c>
      <c r="I57" s="2">
        <v>7.6E-3</v>
      </c>
    </row>
    <row r="58" spans="1:9" ht="13" x14ac:dyDescent="0.15">
      <c r="A58" s="1" t="s">
        <v>61</v>
      </c>
      <c r="B58" s="1" t="s">
        <v>16</v>
      </c>
      <c r="C58" s="1">
        <v>9</v>
      </c>
      <c r="D58" s="2">
        <v>0.29730000000000001</v>
      </c>
      <c r="E58" s="2">
        <v>2.69E-2</v>
      </c>
      <c r="F58" s="2">
        <v>1.2699999999999999E-2</v>
      </c>
      <c r="G58" s="2">
        <v>5.0000000000000001E-3</v>
      </c>
      <c r="H58" s="2">
        <v>2.0999999999999999E-3</v>
      </c>
      <c r="I58" s="2">
        <v>8.9999999999999998E-4</v>
      </c>
    </row>
    <row r="59" spans="1:9" ht="13" x14ac:dyDescent="0.15">
      <c r="A59" s="1" t="s">
        <v>62</v>
      </c>
      <c r="B59" s="1" t="s">
        <v>16</v>
      </c>
      <c r="C59" s="1">
        <v>10</v>
      </c>
      <c r="D59" s="2">
        <v>0.34610000000000002</v>
      </c>
      <c r="E59" s="2">
        <v>6.1899999999999997E-2</v>
      </c>
      <c r="F59" s="2">
        <v>2.2800000000000001E-2</v>
      </c>
      <c r="G59" s="2">
        <v>5.7000000000000002E-3</v>
      </c>
      <c r="H59" s="2">
        <v>2.5000000000000001E-3</v>
      </c>
      <c r="I59" s="2">
        <v>1.1999999999999999E-3</v>
      </c>
    </row>
    <row r="60" spans="1:9" ht="13" x14ac:dyDescent="0.15">
      <c r="A60" s="1" t="s">
        <v>45</v>
      </c>
      <c r="B60" s="1" t="s">
        <v>16</v>
      </c>
      <c r="C60" s="1">
        <v>11</v>
      </c>
      <c r="D60" s="2">
        <v>0.38300000000000001</v>
      </c>
      <c r="E60" s="2">
        <v>0.12189999999999999</v>
      </c>
      <c r="F60" s="2">
        <v>2.4500000000000001E-2</v>
      </c>
      <c r="G60" s="2">
        <v>5.8999999999999999E-3</v>
      </c>
      <c r="H60" s="2">
        <v>2.5000000000000001E-3</v>
      </c>
      <c r="I60" s="2">
        <v>8.9999999999999998E-4</v>
      </c>
    </row>
    <row r="61" spans="1:9" ht="13" x14ac:dyDescent="0.15">
      <c r="A61" s="1" t="s">
        <v>54</v>
      </c>
      <c r="B61" s="1" t="s">
        <v>16</v>
      </c>
      <c r="C61" s="1">
        <v>12</v>
      </c>
      <c r="D61" s="2">
        <v>0.27789999999999998</v>
      </c>
      <c r="E61" s="2">
        <v>6.83E-2</v>
      </c>
      <c r="F61" s="2">
        <v>8.3999999999999995E-3</v>
      </c>
      <c r="G61" s="2">
        <v>3.3999999999999998E-3</v>
      </c>
      <c r="H61" s="2">
        <v>1.5E-3</v>
      </c>
      <c r="I61" s="2">
        <v>6.9999999999999999E-4</v>
      </c>
    </row>
    <row r="62" spans="1:9" ht="13" x14ac:dyDescent="0.15">
      <c r="A62" s="1" t="s">
        <v>66</v>
      </c>
      <c r="B62" s="1" t="s">
        <v>16</v>
      </c>
      <c r="C62" s="1">
        <v>13</v>
      </c>
      <c r="D62" s="2">
        <v>0.13420000000000001</v>
      </c>
      <c r="E62" s="2">
        <v>4.5600000000000002E-2</v>
      </c>
      <c r="F62" s="2">
        <v>6.8999999999999999E-3</v>
      </c>
      <c r="G62" s="2">
        <v>2.8E-3</v>
      </c>
      <c r="H62" s="2">
        <v>1.1999999999999999E-3</v>
      </c>
      <c r="I62" s="2">
        <v>5.9999999999999995E-4</v>
      </c>
    </row>
    <row r="63" spans="1:9" ht="13" x14ac:dyDescent="0.15">
      <c r="A63" s="1" t="s">
        <v>78</v>
      </c>
      <c r="B63" s="1" t="s">
        <v>16</v>
      </c>
      <c r="C63" s="1">
        <v>14</v>
      </c>
      <c r="D63" s="2">
        <v>5.9900000000000002E-2</v>
      </c>
      <c r="E63" s="2">
        <v>1.8100000000000002E-2</v>
      </c>
      <c r="F63" s="2">
        <v>4.8999999999999998E-3</v>
      </c>
      <c r="G63" s="2">
        <v>2E-3</v>
      </c>
      <c r="H63" s="2">
        <v>8.9999999999999998E-4</v>
      </c>
      <c r="I63" s="2">
        <v>4.0000000000000002E-4</v>
      </c>
    </row>
    <row r="64" spans="1:9" ht="13" x14ac:dyDescent="0.15">
      <c r="A64" s="1" t="s">
        <v>79</v>
      </c>
      <c r="B64" s="1" t="s">
        <v>16</v>
      </c>
      <c r="C64" s="1">
        <v>15</v>
      </c>
      <c r="D64" s="2">
        <v>4.0300000000000002E-2</v>
      </c>
      <c r="E64" s="2">
        <v>1.2699999999999999E-2</v>
      </c>
      <c r="F64" s="2">
        <v>5.8999999999999999E-3</v>
      </c>
      <c r="G64" s="2">
        <v>2.3999999999999998E-3</v>
      </c>
      <c r="H64" s="2">
        <v>1.1000000000000001E-3</v>
      </c>
      <c r="I64" s="2">
        <v>5.0000000000000001E-4</v>
      </c>
    </row>
    <row r="65" spans="1:9" ht="13" x14ac:dyDescent="0.15">
      <c r="A65" s="1" t="s">
        <v>80</v>
      </c>
      <c r="B65" s="1" t="s">
        <v>16</v>
      </c>
      <c r="C65" s="1">
        <v>16</v>
      </c>
      <c r="D65" s="2">
        <v>1.9199999999999998E-2</v>
      </c>
      <c r="E65" s="2">
        <v>8.0999999999999996E-3</v>
      </c>
      <c r="F65" s="2">
        <v>4.0000000000000001E-3</v>
      </c>
      <c r="G65" s="2">
        <v>2.2000000000000001E-3</v>
      </c>
      <c r="H65" s="2">
        <v>1.1000000000000001E-3</v>
      </c>
      <c r="I65" s="2">
        <v>5.9999999999999995E-4</v>
      </c>
    </row>
    <row r="66" spans="1:9" ht="13" x14ac:dyDescent="0.15">
      <c r="D66" s="2"/>
      <c r="E66" s="2"/>
      <c r="F66" s="2"/>
      <c r="G66" s="2"/>
      <c r="H66" s="2"/>
      <c r="I66" s="2"/>
    </row>
    <row r="67" spans="1:9" ht="13" x14ac:dyDescent="0.15">
      <c r="D67" s="2"/>
      <c r="E67" s="2"/>
      <c r="F67" s="2"/>
      <c r="G67" s="2"/>
      <c r="H67" s="2"/>
      <c r="I67" s="2"/>
    </row>
    <row r="68" spans="1:9" ht="13" x14ac:dyDescent="0.15">
      <c r="D68" s="2"/>
      <c r="E68" s="2"/>
      <c r="F68" s="2"/>
      <c r="G68" s="2"/>
      <c r="H68" s="2"/>
      <c r="I68" s="2"/>
    </row>
    <row r="69" spans="1:9" ht="13" x14ac:dyDescent="0.15">
      <c r="D69" s="2"/>
      <c r="E69" s="2"/>
      <c r="F69" s="2"/>
      <c r="G69" s="2"/>
      <c r="H69" s="2"/>
      <c r="I69" s="2"/>
    </row>
    <row r="70" spans="1:9" ht="13" x14ac:dyDescent="0.15">
      <c r="D70" s="2"/>
      <c r="E70" s="2"/>
      <c r="F70" s="2"/>
      <c r="G70" s="2"/>
      <c r="H70" s="2"/>
      <c r="I70" s="2"/>
    </row>
    <row r="71" spans="1:9" ht="13" x14ac:dyDescent="0.15">
      <c r="D71" s="2"/>
      <c r="E71" s="2"/>
      <c r="F71" s="2"/>
      <c r="G71" s="2"/>
      <c r="H71" s="2"/>
      <c r="I71" s="2"/>
    </row>
    <row r="72" spans="1:9" ht="13" x14ac:dyDescent="0.15">
      <c r="D72" s="2"/>
      <c r="E72" s="2"/>
      <c r="F72" s="2"/>
      <c r="G72" s="2"/>
      <c r="H72" s="2"/>
      <c r="I72" s="2"/>
    </row>
    <row r="73" spans="1:9" ht="13" x14ac:dyDescent="0.15">
      <c r="D73" s="2"/>
      <c r="E73" s="2"/>
      <c r="F73" s="2"/>
      <c r="G73" s="2"/>
      <c r="H73" s="2"/>
      <c r="I73" s="2"/>
    </row>
    <row r="74" spans="1:9" ht="13" x14ac:dyDescent="0.15">
      <c r="D74" s="2"/>
      <c r="E74" s="2"/>
      <c r="F74" s="2"/>
      <c r="G74" s="2"/>
      <c r="H74" s="2"/>
      <c r="I74" s="2"/>
    </row>
    <row r="75" spans="1:9" ht="13" x14ac:dyDescent="0.15">
      <c r="D75" s="2"/>
      <c r="E75" s="2"/>
      <c r="F75" s="2"/>
      <c r="G75" s="2"/>
      <c r="H75" s="2"/>
      <c r="I75" s="2"/>
    </row>
    <row r="76" spans="1:9" ht="13" x14ac:dyDescent="0.15">
      <c r="D76" s="2"/>
      <c r="E76" s="2"/>
      <c r="F76" s="2"/>
      <c r="G76" s="2"/>
      <c r="H76" s="2"/>
      <c r="I76" s="2"/>
    </row>
    <row r="77" spans="1:9" ht="13" x14ac:dyDescent="0.15">
      <c r="D77" s="2"/>
      <c r="E77" s="2"/>
      <c r="F77" s="2"/>
      <c r="G77" s="2"/>
      <c r="H77" s="2"/>
      <c r="I77" s="2"/>
    </row>
    <row r="78" spans="1:9" ht="13" x14ac:dyDescent="0.15">
      <c r="D78" s="2"/>
      <c r="E78" s="2"/>
      <c r="F78" s="2"/>
      <c r="G78" s="2"/>
      <c r="H78" s="2"/>
      <c r="I78" s="2"/>
    </row>
    <row r="79" spans="1:9" ht="13" x14ac:dyDescent="0.15">
      <c r="D79" s="2"/>
      <c r="E79" s="2"/>
      <c r="F79" s="2"/>
      <c r="G79" s="2"/>
      <c r="H79" s="2"/>
      <c r="I79" s="2"/>
    </row>
    <row r="80" spans="1:9" ht="13" x14ac:dyDescent="0.15">
      <c r="D80" s="2"/>
      <c r="E80" s="2"/>
      <c r="F80" s="2"/>
      <c r="G80" s="2"/>
      <c r="H80" s="2"/>
      <c r="I80" s="2"/>
    </row>
    <row r="81" spans="4:9" ht="13" x14ac:dyDescent="0.15">
      <c r="D81" s="2"/>
      <c r="E81" s="2"/>
      <c r="F81" s="2"/>
      <c r="G81" s="2"/>
      <c r="H81" s="2"/>
      <c r="I81" s="2"/>
    </row>
    <row r="82" spans="4:9" ht="13" x14ac:dyDescent="0.15">
      <c r="D82" s="2"/>
      <c r="E82" s="2"/>
      <c r="F82" s="2"/>
      <c r="G82" s="2"/>
      <c r="H82" s="2"/>
      <c r="I82" s="2"/>
    </row>
    <row r="83" spans="4:9" ht="13" x14ac:dyDescent="0.15">
      <c r="D83" s="2"/>
      <c r="E83" s="2"/>
      <c r="F83" s="2"/>
      <c r="G83" s="2"/>
      <c r="H83" s="2"/>
      <c r="I83" s="2"/>
    </row>
    <row r="84" spans="4:9" ht="13" x14ac:dyDescent="0.15">
      <c r="D84" s="2"/>
      <c r="E84" s="2"/>
      <c r="F84" s="2"/>
      <c r="G84" s="2"/>
      <c r="H84" s="2"/>
      <c r="I84" s="2"/>
    </row>
    <row r="85" spans="4:9" ht="13" x14ac:dyDescent="0.15">
      <c r="D85" s="2"/>
      <c r="E85" s="2"/>
      <c r="F85" s="2"/>
      <c r="G85" s="2"/>
      <c r="H85" s="2"/>
      <c r="I85" s="2"/>
    </row>
    <row r="86" spans="4:9" ht="13" x14ac:dyDescent="0.15">
      <c r="D86" s="2"/>
      <c r="E86" s="2"/>
      <c r="F86" s="2"/>
      <c r="G86" s="2"/>
      <c r="H86" s="2"/>
      <c r="I86" s="2"/>
    </row>
    <row r="87" spans="4:9" ht="13" x14ac:dyDescent="0.15">
      <c r="D87" s="2"/>
      <c r="E87" s="2"/>
      <c r="F87" s="2"/>
      <c r="G87" s="2"/>
      <c r="H87" s="2"/>
      <c r="I87" s="2"/>
    </row>
    <row r="88" spans="4:9" ht="13" x14ac:dyDescent="0.15">
      <c r="D88" s="2"/>
      <c r="E88" s="2"/>
      <c r="F88" s="2"/>
      <c r="G88" s="2"/>
      <c r="H88" s="2"/>
      <c r="I88" s="2"/>
    </row>
    <row r="89" spans="4:9" ht="13" x14ac:dyDescent="0.15">
      <c r="D89" s="2"/>
      <c r="E89" s="2"/>
      <c r="F89" s="2"/>
      <c r="G89" s="2"/>
      <c r="H89" s="2"/>
      <c r="I89" s="2"/>
    </row>
    <row r="90" spans="4:9" ht="13" x14ac:dyDescent="0.15">
      <c r="D90" s="2"/>
      <c r="E90" s="2"/>
      <c r="F90" s="2"/>
      <c r="G90" s="2"/>
      <c r="H90" s="2"/>
      <c r="I90" s="2"/>
    </row>
    <row r="91" spans="4:9" ht="13" x14ac:dyDescent="0.15">
      <c r="D91" s="2"/>
      <c r="E91" s="2"/>
      <c r="F91" s="2"/>
      <c r="G91" s="2"/>
      <c r="H91" s="2"/>
      <c r="I91" s="2"/>
    </row>
    <row r="92" spans="4:9" ht="13" x14ac:dyDescent="0.15">
      <c r="D92" s="2"/>
      <c r="E92" s="2"/>
      <c r="F92" s="2"/>
      <c r="G92" s="2"/>
      <c r="H92" s="2"/>
      <c r="I92" s="2"/>
    </row>
    <row r="93" spans="4:9" ht="13" x14ac:dyDescent="0.15">
      <c r="D93" s="2"/>
      <c r="E93" s="2"/>
      <c r="F93" s="2"/>
      <c r="G93" s="2"/>
      <c r="H93" s="2"/>
      <c r="I93" s="2"/>
    </row>
    <row r="94" spans="4:9" ht="13" x14ac:dyDescent="0.15">
      <c r="D94" s="2"/>
      <c r="E94" s="2"/>
      <c r="F94" s="2"/>
      <c r="G94" s="2"/>
      <c r="H94" s="2"/>
      <c r="I94" s="2"/>
    </row>
    <row r="95" spans="4:9" ht="13" x14ac:dyDescent="0.15">
      <c r="D95" s="2"/>
      <c r="E95" s="2"/>
      <c r="F95" s="2"/>
      <c r="G95" s="2"/>
      <c r="H95" s="2"/>
      <c r="I95" s="2"/>
    </row>
    <row r="96" spans="4:9" ht="13" x14ac:dyDescent="0.15">
      <c r="D96" s="2"/>
      <c r="E96" s="2"/>
      <c r="F96" s="2"/>
      <c r="G96" s="2"/>
      <c r="H96" s="2"/>
      <c r="I96" s="2"/>
    </row>
    <row r="97" spans="4:9" ht="13" x14ac:dyDescent="0.15">
      <c r="D97" s="2"/>
      <c r="E97" s="2"/>
      <c r="F97" s="2"/>
      <c r="G97" s="2"/>
      <c r="H97" s="2"/>
      <c r="I97" s="2"/>
    </row>
    <row r="98" spans="4:9" ht="13" x14ac:dyDescent="0.15">
      <c r="D98" s="2"/>
      <c r="E98" s="2"/>
      <c r="F98" s="2"/>
      <c r="G98" s="2"/>
      <c r="H98" s="2"/>
      <c r="I98" s="2"/>
    </row>
    <row r="99" spans="4:9" ht="13" x14ac:dyDescent="0.15">
      <c r="D99" s="2"/>
      <c r="E99" s="2"/>
      <c r="F99" s="2"/>
      <c r="G99" s="2"/>
      <c r="H99" s="2"/>
      <c r="I99" s="2"/>
    </row>
    <row r="100" spans="4:9" ht="13" x14ac:dyDescent="0.15">
      <c r="D100" s="2"/>
      <c r="E100" s="2"/>
      <c r="F100" s="2"/>
      <c r="G100" s="2"/>
      <c r="H100" s="2"/>
      <c r="I100" s="2"/>
    </row>
    <row r="101" spans="4:9" ht="13" x14ac:dyDescent="0.15">
      <c r="D101" s="2"/>
      <c r="E101" s="2"/>
      <c r="F101" s="2"/>
      <c r="G101" s="2"/>
      <c r="H101" s="2"/>
      <c r="I101" s="2"/>
    </row>
    <row r="102" spans="4:9" ht="13" x14ac:dyDescent="0.15">
      <c r="D102" s="2"/>
      <c r="E102" s="2"/>
      <c r="F102" s="2"/>
      <c r="G102" s="2"/>
      <c r="H102" s="2"/>
      <c r="I102" s="2"/>
    </row>
    <row r="103" spans="4:9" ht="13" x14ac:dyDescent="0.15">
      <c r="D103" s="2"/>
      <c r="E103" s="2"/>
      <c r="F103" s="2"/>
      <c r="G103" s="2"/>
      <c r="H103" s="2"/>
      <c r="I103" s="2"/>
    </row>
    <row r="104" spans="4:9" ht="13" x14ac:dyDescent="0.15">
      <c r="D104" s="2"/>
      <c r="E104" s="2"/>
      <c r="F104" s="2"/>
      <c r="G104" s="2"/>
      <c r="H104" s="2"/>
      <c r="I104" s="2"/>
    </row>
    <row r="105" spans="4:9" ht="13" x14ac:dyDescent="0.15">
      <c r="D105" s="2"/>
      <c r="E105" s="2"/>
      <c r="F105" s="2"/>
      <c r="G105" s="2"/>
      <c r="H105" s="2"/>
      <c r="I105" s="2"/>
    </row>
    <row r="106" spans="4:9" ht="13" x14ac:dyDescent="0.15">
      <c r="D106" s="2"/>
      <c r="E106" s="2"/>
      <c r="F106" s="2"/>
      <c r="G106" s="2"/>
      <c r="H106" s="2"/>
      <c r="I106" s="2"/>
    </row>
    <row r="107" spans="4:9" ht="13" x14ac:dyDescent="0.15">
      <c r="D107" s="2"/>
      <c r="E107" s="2"/>
      <c r="F107" s="2"/>
      <c r="G107" s="2"/>
      <c r="H107" s="2"/>
      <c r="I107" s="2"/>
    </row>
    <row r="108" spans="4:9" ht="13" x14ac:dyDescent="0.15">
      <c r="D108" s="2"/>
      <c r="E108" s="2"/>
      <c r="F108" s="2"/>
      <c r="G108" s="2"/>
      <c r="H108" s="2"/>
      <c r="I108" s="2"/>
    </row>
    <row r="109" spans="4:9" ht="13" x14ac:dyDescent="0.15">
      <c r="D109" s="2"/>
      <c r="E109" s="2"/>
      <c r="F109" s="2"/>
      <c r="G109" s="2"/>
      <c r="H109" s="2"/>
      <c r="I109" s="2"/>
    </row>
    <row r="110" spans="4:9" ht="13" x14ac:dyDescent="0.15">
      <c r="D110" s="2"/>
      <c r="E110" s="2"/>
      <c r="F110" s="2"/>
      <c r="G110" s="2"/>
      <c r="H110" s="2"/>
      <c r="I110" s="2"/>
    </row>
    <row r="111" spans="4:9" ht="13" x14ac:dyDescent="0.15">
      <c r="D111" s="2"/>
      <c r="E111" s="2"/>
      <c r="F111" s="2"/>
      <c r="G111" s="2"/>
      <c r="H111" s="2"/>
      <c r="I111" s="2"/>
    </row>
    <row r="112" spans="4:9" ht="13" x14ac:dyDescent="0.15">
      <c r="D112" s="2"/>
      <c r="E112" s="2"/>
      <c r="F112" s="2"/>
      <c r="G112" s="2"/>
      <c r="H112" s="2"/>
      <c r="I112" s="2"/>
    </row>
    <row r="113" spans="4:9" ht="13" x14ac:dyDescent="0.15">
      <c r="D113" s="2"/>
      <c r="E113" s="2"/>
      <c r="F113" s="2"/>
      <c r="G113" s="2"/>
      <c r="H113" s="2"/>
      <c r="I113" s="2"/>
    </row>
    <row r="114" spans="4:9" ht="13" x14ac:dyDescent="0.15">
      <c r="D114" s="2"/>
      <c r="E114" s="2"/>
      <c r="F114" s="2"/>
      <c r="G114" s="2"/>
      <c r="H114" s="2"/>
      <c r="I114" s="2"/>
    </row>
    <row r="115" spans="4:9" ht="13" x14ac:dyDescent="0.15">
      <c r="D115" s="2"/>
      <c r="E115" s="2"/>
      <c r="F115" s="2"/>
      <c r="G115" s="2"/>
      <c r="H115" s="2"/>
      <c r="I115" s="2"/>
    </row>
    <row r="116" spans="4:9" ht="13" x14ac:dyDescent="0.15">
      <c r="D116" s="2"/>
      <c r="E116" s="2"/>
      <c r="F116" s="2"/>
      <c r="G116" s="2"/>
      <c r="H116" s="2"/>
      <c r="I116" s="2"/>
    </row>
    <row r="117" spans="4:9" ht="13" x14ac:dyDescent="0.15">
      <c r="D117" s="2"/>
      <c r="E117" s="2"/>
      <c r="F117" s="2"/>
      <c r="G117" s="2"/>
      <c r="H117" s="2"/>
      <c r="I117" s="2"/>
    </row>
    <row r="118" spans="4:9" ht="13" x14ac:dyDescent="0.15">
      <c r="D118" s="2"/>
      <c r="E118" s="2"/>
      <c r="F118" s="2"/>
      <c r="G118" s="2"/>
      <c r="H118" s="2"/>
      <c r="I118" s="2"/>
    </row>
    <row r="119" spans="4:9" ht="13" x14ac:dyDescent="0.15">
      <c r="D119" s="2"/>
      <c r="E119" s="2"/>
      <c r="F119" s="2"/>
      <c r="G119" s="2"/>
      <c r="H119" s="2"/>
      <c r="I119" s="2"/>
    </row>
    <row r="120" spans="4:9" ht="13" x14ac:dyDescent="0.15">
      <c r="D120" s="2"/>
      <c r="E120" s="2"/>
      <c r="F120" s="2"/>
      <c r="G120" s="2"/>
      <c r="H120" s="2"/>
      <c r="I120" s="2"/>
    </row>
    <row r="121" spans="4:9" ht="13" x14ac:dyDescent="0.15">
      <c r="D121" s="2"/>
      <c r="E121" s="2"/>
      <c r="F121" s="2"/>
      <c r="G121" s="2"/>
      <c r="H121" s="2"/>
      <c r="I121" s="2"/>
    </row>
    <row r="122" spans="4:9" ht="13" x14ac:dyDescent="0.15">
      <c r="D122" s="2"/>
      <c r="E122" s="2"/>
      <c r="F122" s="2"/>
      <c r="G122" s="2"/>
      <c r="H122" s="2"/>
      <c r="I122" s="2"/>
    </row>
    <row r="123" spans="4:9" ht="13" x14ac:dyDescent="0.15">
      <c r="D123" s="2"/>
      <c r="E123" s="2"/>
      <c r="F123" s="2"/>
      <c r="G123" s="2"/>
      <c r="H123" s="2"/>
      <c r="I123" s="2"/>
    </row>
    <row r="124" spans="4:9" ht="13" x14ac:dyDescent="0.15">
      <c r="D124" s="2"/>
      <c r="E124" s="2"/>
      <c r="F124" s="2"/>
      <c r="G124" s="2"/>
      <c r="H124" s="2"/>
      <c r="I124" s="2"/>
    </row>
    <row r="125" spans="4:9" ht="13" x14ac:dyDescent="0.15">
      <c r="D125" s="2"/>
      <c r="E125" s="2"/>
      <c r="F125" s="2"/>
      <c r="G125" s="2"/>
      <c r="H125" s="2"/>
      <c r="I125" s="2"/>
    </row>
    <row r="126" spans="4:9" ht="13" x14ac:dyDescent="0.15">
      <c r="D126" s="2"/>
      <c r="E126" s="2"/>
      <c r="F126" s="2"/>
      <c r="G126" s="2"/>
      <c r="H126" s="2"/>
      <c r="I126" s="2"/>
    </row>
    <row r="127" spans="4:9" ht="13" x14ac:dyDescent="0.15">
      <c r="D127" s="2"/>
      <c r="E127" s="2"/>
      <c r="F127" s="2"/>
      <c r="G127" s="2"/>
      <c r="H127" s="2"/>
      <c r="I127" s="2"/>
    </row>
    <row r="128" spans="4:9" ht="13" x14ac:dyDescent="0.15">
      <c r="D128" s="2"/>
      <c r="E128" s="2"/>
      <c r="F128" s="2"/>
      <c r="G128" s="2"/>
      <c r="H128" s="2"/>
      <c r="I128" s="2"/>
    </row>
    <row r="129" spans="4:9" ht="13" x14ac:dyDescent="0.15">
      <c r="D129" s="2"/>
      <c r="E129" s="2"/>
      <c r="F129" s="2"/>
      <c r="G129" s="2"/>
      <c r="H129" s="2"/>
      <c r="I129" s="2"/>
    </row>
    <row r="130" spans="4:9" ht="13" x14ac:dyDescent="0.15">
      <c r="D130" s="2"/>
      <c r="E130" s="2"/>
      <c r="F130" s="2"/>
      <c r="G130" s="2"/>
      <c r="H130" s="2"/>
      <c r="I130" s="2"/>
    </row>
    <row r="131" spans="4:9" ht="13" x14ac:dyDescent="0.15">
      <c r="D131" s="2"/>
      <c r="E131" s="2"/>
      <c r="F131" s="2"/>
      <c r="G131" s="2"/>
      <c r="H131" s="2"/>
      <c r="I131" s="2"/>
    </row>
    <row r="132" spans="4:9" ht="13" x14ac:dyDescent="0.15">
      <c r="D132" s="2"/>
      <c r="E132" s="2"/>
      <c r="F132" s="2"/>
      <c r="G132" s="2"/>
      <c r="H132" s="2"/>
      <c r="I132" s="2"/>
    </row>
    <row r="133" spans="4:9" ht="13" x14ac:dyDescent="0.15">
      <c r="D133" s="2"/>
      <c r="E133" s="2"/>
      <c r="F133" s="2"/>
      <c r="G133" s="2"/>
      <c r="H133" s="2"/>
      <c r="I133" s="2"/>
    </row>
    <row r="134" spans="4:9" ht="13" x14ac:dyDescent="0.15">
      <c r="D134" s="2"/>
      <c r="E134" s="2"/>
      <c r="F134" s="2"/>
      <c r="G134" s="2"/>
      <c r="H134" s="2"/>
      <c r="I134" s="2"/>
    </row>
    <row r="135" spans="4:9" ht="13" x14ac:dyDescent="0.15">
      <c r="D135" s="2"/>
      <c r="E135" s="2"/>
      <c r="F135" s="2"/>
      <c r="G135" s="2"/>
      <c r="H135" s="2"/>
      <c r="I135" s="2"/>
    </row>
    <row r="136" spans="4:9" ht="13" x14ac:dyDescent="0.15">
      <c r="D136" s="2"/>
      <c r="E136" s="2"/>
      <c r="F136" s="2"/>
      <c r="G136" s="2"/>
      <c r="H136" s="2"/>
      <c r="I136" s="2"/>
    </row>
    <row r="137" spans="4:9" ht="13" x14ac:dyDescent="0.15">
      <c r="D137" s="2"/>
      <c r="E137" s="2"/>
      <c r="F137" s="2"/>
      <c r="G137" s="2"/>
      <c r="H137" s="2"/>
      <c r="I137" s="2"/>
    </row>
    <row r="138" spans="4:9" ht="13" x14ac:dyDescent="0.15">
      <c r="D138" s="2"/>
      <c r="E138" s="2"/>
      <c r="F138" s="2"/>
      <c r="G138" s="2"/>
      <c r="H138" s="2"/>
      <c r="I138" s="2"/>
    </row>
    <row r="139" spans="4:9" ht="13" x14ac:dyDescent="0.15">
      <c r="D139" s="2"/>
      <c r="E139" s="2"/>
      <c r="F139" s="2"/>
      <c r="G139" s="2"/>
      <c r="H139" s="2"/>
      <c r="I139" s="2"/>
    </row>
    <row r="140" spans="4:9" ht="13" x14ac:dyDescent="0.15">
      <c r="D140" s="2"/>
      <c r="E140" s="2"/>
      <c r="F140" s="2"/>
      <c r="G140" s="2"/>
      <c r="H140" s="2"/>
      <c r="I140" s="2"/>
    </row>
    <row r="141" spans="4:9" ht="13" x14ac:dyDescent="0.15">
      <c r="D141" s="2"/>
      <c r="E141" s="2"/>
      <c r="F141" s="2"/>
      <c r="G141" s="2"/>
      <c r="H141" s="2"/>
      <c r="I141" s="2"/>
    </row>
    <row r="142" spans="4:9" ht="13" x14ac:dyDescent="0.15">
      <c r="D142" s="2"/>
      <c r="E142" s="2"/>
      <c r="F142" s="2"/>
      <c r="G142" s="2"/>
      <c r="H142" s="2"/>
      <c r="I142" s="2"/>
    </row>
    <row r="143" spans="4:9" ht="13" x14ac:dyDescent="0.15">
      <c r="D143" s="2"/>
      <c r="E143" s="2"/>
      <c r="F143" s="2"/>
      <c r="G143" s="2"/>
      <c r="H143" s="2"/>
      <c r="I143" s="2"/>
    </row>
    <row r="144" spans="4:9" ht="13" x14ac:dyDescent="0.15">
      <c r="D144" s="2"/>
      <c r="E144" s="2"/>
      <c r="F144" s="2"/>
      <c r="G144" s="2"/>
      <c r="H144" s="2"/>
      <c r="I144" s="2"/>
    </row>
    <row r="145" spans="4:9" ht="13" x14ac:dyDescent="0.15">
      <c r="D145" s="2"/>
      <c r="E145" s="2"/>
      <c r="F145" s="2"/>
      <c r="G145" s="2"/>
      <c r="H145" s="2"/>
      <c r="I145" s="2"/>
    </row>
    <row r="146" spans="4:9" ht="13" x14ac:dyDescent="0.15">
      <c r="D146" s="2"/>
      <c r="E146" s="2"/>
      <c r="F146" s="2"/>
      <c r="G146" s="2"/>
      <c r="H146" s="2"/>
      <c r="I146" s="2"/>
    </row>
    <row r="147" spans="4:9" ht="13" x14ac:dyDescent="0.15">
      <c r="D147" s="2"/>
      <c r="E147" s="2"/>
      <c r="F147" s="2"/>
      <c r="G147" s="2"/>
      <c r="H147" s="2"/>
      <c r="I147" s="2"/>
    </row>
    <row r="148" spans="4:9" ht="13" x14ac:dyDescent="0.15">
      <c r="D148" s="2"/>
      <c r="E148" s="2"/>
      <c r="F148" s="2"/>
      <c r="G148" s="2"/>
      <c r="H148" s="2"/>
      <c r="I148" s="2"/>
    </row>
    <row r="149" spans="4:9" ht="13" x14ac:dyDescent="0.15">
      <c r="D149" s="2"/>
      <c r="E149" s="2"/>
      <c r="F149" s="2"/>
      <c r="G149" s="2"/>
      <c r="H149" s="2"/>
      <c r="I149" s="2"/>
    </row>
    <row r="150" spans="4:9" ht="13" x14ac:dyDescent="0.15">
      <c r="D150" s="2"/>
      <c r="E150" s="2"/>
      <c r="F150" s="2"/>
      <c r="G150" s="2"/>
      <c r="H150" s="2"/>
      <c r="I150" s="2"/>
    </row>
    <row r="151" spans="4:9" ht="13" x14ac:dyDescent="0.15">
      <c r="D151" s="2"/>
      <c r="E151" s="2"/>
      <c r="F151" s="2"/>
      <c r="G151" s="2"/>
      <c r="H151" s="2"/>
      <c r="I151" s="2"/>
    </row>
    <row r="152" spans="4:9" ht="13" x14ac:dyDescent="0.15">
      <c r="D152" s="2"/>
      <c r="E152" s="2"/>
      <c r="F152" s="2"/>
      <c r="G152" s="2"/>
      <c r="H152" s="2"/>
      <c r="I152" s="2"/>
    </row>
    <row r="153" spans="4:9" ht="13" x14ac:dyDescent="0.15">
      <c r="D153" s="2"/>
      <c r="E153" s="2"/>
      <c r="F153" s="2"/>
      <c r="G153" s="2"/>
      <c r="H153" s="2"/>
      <c r="I153" s="2"/>
    </row>
    <row r="154" spans="4:9" ht="13" x14ac:dyDescent="0.15">
      <c r="D154" s="2"/>
      <c r="E154" s="2"/>
      <c r="F154" s="2"/>
      <c r="G154" s="2"/>
      <c r="H154" s="2"/>
      <c r="I154" s="2"/>
    </row>
    <row r="155" spans="4:9" ht="13" x14ac:dyDescent="0.15">
      <c r="D155" s="2"/>
      <c r="E155" s="2"/>
      <c r="F155" s="2"/>
      <c r="G155" s="2"/>
      <c r="H155" s="2"/>
      <c r="I155" s="2"/>
    </row>
    <row r="156" spans="4:9" ht="13" x14ac:dyDescent="0.15">
      <c r="D156" s="2"/>
      <c r="E156" s="2"/>
      <c r="F156" s="2"/>
      <c r="G156" s="2"/>
      <c r="H156" s="2"/>
      <c r="I156" s="2"/>
    </row>
    <row r="157" spans="4:9" ht="13" x14ac:dyDescent="0.15">
      <c r="D157" s="2"/>
      <c r="E157" s="2"/>
      <c r="F157" s="2"/>
      <c r="G157" s="2"/>
      <c r="H157" s="2"/>
      <c r="I157" s="2"/>
    </row>
    <row r="158" spans="4:9" ht="13" x14ac:dyDescent="0.15">
      <c r="D158" s="2"/>
      <c r="E158" s="2"/>
      <c r="F158" s="2"/>
      <c r="G158" s="2"/>
      <c r="H158" s="2"/>
      <c r="I158" s="2"/>
    </row>
    <row r="159" spans="4:9" ht="13" x14ac:dyDescent="0.15">
      <c r="D159" s="2"/>
      <c r="E159" s="2"/>
      <c r="F159" s="2"/>
      <c r="G159" s="2"/>
      <c r="H159" s="2"/>
      <c r="I159" s="2"/>
    </row>
    <row r="160" spans="4:9" ht="13" x14ac:dyDescent="0.15">
      <c r="D160" s="2"/>
      <c r="E160" s="2"/>
      <c r="F160" s="2"/>
      <c r="G160" s="2"/>
      <c r="H160" s="2"/>
      <c r="I160" s="2"/>
    </row>
    <row r="161" spans="4:9" ht="13" x14ac:dyDescent="0.15">
      <c r="D161" s="2"/>
      <c r="E161" s="2"/>
      <c r="F161" s="2"/>
      <c r="G161" s="2"/>
      <c r="H161" s="2"/>
      <c r="I161" s="2"/>
    </row>
    <row r="162" spans="4:9" ht="13" x14ac:dyDescent="0.15">
      <c r="D162" s="2"/>
      <c r="E162" s="2"/>
      <c r="F162" s="2"/>
      <c r="G162" s="2"/>
      <c r="H162" s="2"/>
      <c r="I162" s="2"/>
    </row>
    <row r="163" spans="4:9" ht="13" x14ac:dyDescent="0.15">
      <c r="D163" s="2"/>
      <c r="E163" s="2"/>
      <c r="F163" s="2"/>
      <c r="G163" s="2"/>
      <c r="H163" s="2"/>
      <c r="I163" s="2"/>
    </row>
    <row r="164" spans="4:9" ht="13" x14ac:dyDescent="0.15">
      <c r="D164" s="2"/>
      <c r="E164" s="2"/>
      <c r="F164" s="2"/>
      <c r="G164" s="2"/>
      <c r="H164" s="2"/>
      <c r="I164" s="2"/>
    </row>
    <row r="165" spans="4:9" ht="13" x14ac:dyDescent="0.15">
      <c r="D165" s="2"/>
      <c r="E165" s="2"/>
      <c r="F165" s="2"/>
      <c r="G165" s="2"/>
      <c r="H165" s="2"/>
      <c r="I165" s="2"/>
    </row>
    <row r="166" spans="4:9" ht="13" x14ac:dyDescent="0.15">
      <c r="D166" s="2"/>
      <c r="E166" s="2"/>
      <c r="F166" s="2"/>
      <c r="G166" s="2"/>
      <c r="H166" s="2"/>
      <c r="I166" s="2"/>
    </row>
    <row r="167" spans="4:9" ht="13" x14ac:dyDescent="0.15">
      <c r="D167" s="2"/>
      <c r="E167" s="2"/>
      <c r="F167" s="2"/>
      <c r="G167" s="2"/>
      <c r="H167" s="2"/>
      <c r="I167" s="2"/>
    </row>
    <row r="168" spans="4:9" ht="13" x14ac:dyDescent="0.15">
      <c r="D168" s="2"/>
      <c r="E168" s="2"/>
      <c r="F168" s="2"/>
      <c r="G168" s="2"/>
      <c r="H168" s="2"/>
      <c r="I168" s="2"/>
    </row>
    <row r="169" spans="4:9" ht="13" x14ac:dyDescent="0.15">
      <c r="D169" s="2"/>
      <c r="E169" s="2"/>
      <c r="F169" s="2"/>
      <c r="G169" s="2"/>
      <c r="H169" s="2"/>
      <c r="I169" s="2"/>
    </row>
    <row r="170" spans="4:9" ht="13" x14ac:dyDescent="0.15">
      <c r="D170" s="2"/>
      <c r="E170" s="2"/>
      <c r="F170" s="2"/>
      <c r="G170" s="2"/>
      <c r="H170" s="2"/>
      <c r="I170" s="2"/>
    </row>
    <row r="171" spans="4:9" ht="13" x14ac:dyDescent="0.15">
      <c r="D171" s="2"/>
      <c r="E171" s="2"/>
      <c r="F171" s="2"/>
      <c r="G171" s="2"/>
      <c r="H171" s="2"/>
      <c r="I171" s="2"/>
    </row>
    <row r="172" spans="4:9" ht="13" x14ac:dyDescent="0.15">
      <c r="D172" s="2"/>
      <c r="E172" s="2"/>
      <c r="F172" s="2"/>
      <c r="G172" s="2"/>
      <c r="H172" s="2"/>
      <c r="I172" s="2"/>
    </row>
    <row r="173" spans="4:9" ht="13" x14ac:dyDescent="0.15">
      <c r="D173" s="2"/>
      <c r="E173" s="2"/>
      <c r="F173" s="2"/>
      <c r="G173" s="2"/>
      <c r="H173" s="2"/>
      <c r="I173" s="2"/>
    </row>
    <row r="174" spans="4:9" ht="13" x14ac:dyDescent="0.15">
      <c r="D174" s="2"/>
      <c r="E174" s="2"/>
      <c r="F174" s="2"/>
      <c r="G174" s="2"/>
      <c r="H174" s="2"/>
      <c r="I174" s="2"/>
    </row>
    <row r="175" spans="4:9" ht="13" x14ac:dyDescent="0.15">
      <c r="D175" s="2"/>
      <c r="E175" s="2"/>
      <c r="F175" s="2"/>
      <c r="G175" s="2"/>
      <c r="H175" s="2"/>
      <c r="I175" s="2"/>
    </row>
    <row r="176" spans="4:9" ht="13" x14ac:dyDescent="0.15">
      <c r="D176" s="2"/>
      <c r="E176" s="2"/>
      <c r="F176" s="2"/>
      <c r="G176" s="2"/>
      <c r="H176" s="2"/>
      <c r="I176" s="2"/>
    </row>
    <row r="177" spans="4:9" ht="13" x14ac:dyDescent="0.15">
      <c r="D177" s="2"/>
      <c r="E177" s="2"/>
      <c r="F177" s="2"/>
      <c r="G177" s="2"/>
      <c r="H177" s="2"/>
      <c r="I177" s="2"/>
    </row>
    <row r="178" spans="4:9" ht="13" x14ac:dyDescent="0.15">
      <c r="D178" s="2"/>
      <c r="E178" s="2"/>
      <c r="F178" s="2"/>
      <c r="G178" s="2"/>
      <c r="H178" s="2"/>
      <c r="I178" s="2"/>
    </row>
    <row r="179" spans="4:9" ht="13" x14ac:dyDescent="0.15">
      <c r="D179" s="2"/>
      <c r="E179" s="2"/>
      <c r="F179" s="2"/>
      <c r="G179" s="2"/>
      <c r="H179" s="2"/>
      <c r="I179" s="2"/>
    </row>
    <row r="180" spans="4:9" ht="13" x14ac:dyDescent="0.15">
      <c r="D180" s="2"/>
      <c r="E180" s="2"/>
      <c r="F180" s="2"/>
      <c r="G180" s="2"/>
      <c r="H180" s="2"/>
      <c r="I180" s="2"/>
    </row>
    <row r="181" spans="4:9" ht="13" x14ac:dyDescent="0.15">
      <c r="D181" s="2"/>
      <c r="E181" s="2"/>
      <c r="F181" s="2"/>
      <c r="G181" s="2"/>
      <c r="H181" s="2"/>
      <c r="I181" s="2"/>
    </row>
    <row r="182" spans="4:9" ht="13" x14ac:dyDescent="0.15">
      <c r="D182" s="2"/>
      <c r="E182" s="2"/>
      <c r="F182" s="2"/>
      <c r="G182" s="2"/>
      <c r="H182" s="2"/>
      <c r="I182" s="2"/>
    </row>
    <row r="183" spans="4:9" ht="13" x14ac:dyDescent="0.15">
      <c r="D183" s="2"/>
      <c r="E183" s="2"/>
      <c r="F183" s="2"/>
      <c r="G183" s="2"/>
      <c r="H183" s="2"/>
      <c r="I183" s="2"/>
    </row>
    <row r="184" spans="4:9" ht="13" x14ac:dyDescent="0.15">
      <c r="D184" s="2"/>
      <c r="E184" s="2"/>
      <c r="F184" s="2"/>
      <c r="G184" s="2"/>
      <c r="H184" s="2"/>
      <c r="I184" s="2"/>
    </row>
    <row r="185" spans="4:9" ht="13" x14ac:dyDescent="0.15">
      <c r="D185" s="2"/>
      <c r="E185" s="2"/>
      <c r="F185" s="2"/>
      <c r="G185" s="2"/>
      <c r="H185" s="2"/>
      <c r="I185" s="2"/>
    </row>
    <row r="186" spans="4:9" ht="13" x14ac:dyDescent="0.15">
      <c r="D186" s="2"/>
      <c r="E186" s="2"/>
      <c r="F186" s="2"/>
      <c r="G186" s="2"/>
      <c r="H186" s="2"/>
      <c r="I186" s="2"/>
    </row>
    <row r="187" spans="4:9" ht="13" x14ac:dyDescent="0.15">
      <c r="D187" s="2"/>
      <c r="E187" s="2"/>
      <c r="F187" s="2"/>
      <c r="G187" s="2"/>
      <c r="H187" s="2"/>
      <c r="I187" s="2"/>
    </row>
    <row r="188" spans="4:9" ht="13" x14ac:dyDescent="0.15">
      <c r="D188" s="2"/>
      <c r="E188" s="2"/>
      <c r="F188" s="2"/>
      <c r="G188" s="2"/>
      <c r="H188" s="2"/>
      <c r="I188" s="2"/>
    </row>
    <row r="189" spans="4:9" ht="13" x14ac:dyDescent="0.15">
      <c r="D189" s="2"/>
      <c r="E189" s="2"/>
      <c r="F189" s="2"/>
      <c r="G189" s="2"/>
      <c r="H189" s="2"/>
      <c r="I189" s="2"/>
    </row>
    <row r="190" spans="4:9" ht="13" x14ac:dyDescent="0.15">
      <c r="D190" s="2"/>
      <c r="E190" s="2"/>
      <c r="F190" s="2"/>
      <c r="G190" s="2"/>
      <c r="H190" s="2"/>
      <c r="I190" s="2"/>
    </row>
    <row r="191" spans="4:9" ht="13" x14ac:dyDescent="0.15">
      <c r="D191" s="2"/>
      <c r="E191" s="2"/>
      <c r="F191" s="2"/>
      <c r="G191" s="2"/>
      <c r="H191" s="2"/>
      <c r="I191" s="2"/>
    </row>
    <row r="192" spans="4:9" ht="13" x14ac:dyDescent="0.15">
      <c r="D192" s="2"/>
      <c r="E192" s="2"/>
      <c r="F192" s="2"/>
      <c r="G192" s="2"/>
      <c r="H192" s="2"/>
      <c r="I192" s="2"/>
    </row>
    <row r="193" spans="4:9" ht="13" x14ac:dyDescent="0.15">
      <c r="D193" s="2"/>
      <c r="E193" s="2"/>
      <c r="F193" s="2"/>
      <c r="G193" s="2"/>
      <c r="H193" s="2"/>
      <c r="I193" s="2"/>
    </row>
    <row r="194" spans="4:9" ht="13" x14ac:dyDescent="0.15">
      <c r="D194" s="2"/>
      <c r="E194" s="2"/>
      <c r="F194" s="2"/>
      <c r="G194" s="2"/>
      <c r="H194" s="2"/>
      <c r="I194" s="2"/>
    </row>
    <row r="195" spans="4:9" ht="13" x14ac:dyDescent="0.15">
      <c r="D195" s="2"/>
      <c r="E195" s="2"/>
      <c r="F195" s="2"/>
      <c r="G195" s="2"/>
      <c r="H195" s="2"/>
      <c r="I195" s="2"/>
    </row>
    <row r="196" spans="4:9" ht="13" x14ac:dyDescent="0.15">
      <c r="D196" s="2"/>
      <c r="E196" s="2"/>
      <c r="F196" s="2"/>
      <c r="G196" s="2"/>
      <c r="H196" s="2"/>
      <c r="I196" s="2"/>
    </row>
    <row r="197" spans="4:9" ht="13" x14ac:dyDescent="0.15">
      <c r="D197" s="2"/>
      <c r="E197" s="2"/>
      <c r="F197" s="2"/>
      <c r="G197" s="2"/>
      <c r="H197" s="2"/>
      <c r="I197" s="2"/>
    </row>
    <row r="198" spans="4:9" ht="13" x14ac:dyDescent="0.15">
      <c r="D198" s="2"/>
      <c r="E198" s="2"/>
      <c r="F198" s="2"/>
      <c r="G198" s="2"/>
      <c r="H198" s="2"/>
      <c r="I198" s="2"/>
    </row>
    <row r="199" spans="4:9" ht="13" x14ac:dyDescent="0.15">
      <c r="D199" s="2"/>
      <c r="E199" s="2"/>
      <c r="F199" s="2"/>
      <c r="G199" s="2"/>
      <c r="H199" s="2"/>
      <c r="I199" s="2"/>
    </row>
    <row r="200" spans="4:9" ht="13" x14ac:dyDescent="0.15">
      <c r="D200" s="2"/>
      <c r="E200" s="2"/>
      <c r="F200" s="2"/>
      <c r="G200" s="2"/>
      <c r="H200" s="2"/>
      <c r="I200" s="2"/>
    </row>
    <row r="201" spans="4:9" ht="13" x14ac:dyDescent="0.15">
      <c r="D201" s="2"/>
      <c r="E201" s="2"/>
      <c r="F201" s="2"/>
      <c r="G201" s="2"/>
      <c r="H201" s="2"/>
      <c r="I201" s="2"/>
    </row>
    <row r="202" spans="4:9" ht="13" x14ac:dyDescent="0.15">
      <c r="D202" s="2"/>
      <c r="E202" s="2"/>
      <c r="F202" s="2"/>
      <c r="G202" s="2"/>
      <c r="H202" s="2"/>
      <c r="I202" s="2"/>
    </row>
    <row r="203" spans="4:9" ht="13" x14ac:dyDescent="0.15">
      <c r="D203" s="2"/>
      <c r="E203" s="2"/>
      <c r="F203" s="2"/>
      <c r="G203" s="2"/>
      <c r="H203" s="2"/>
      <c r="I203" s="2"/>
    </row>
    <row r="204" spans="4:9" ht="13" x14ac:dyDescent="0.15">
      <c r="D204" s="2"/>
      <c r="E204" s="2"/>
      <c r="F204" s="2"/>
      <c r="G204" s="2"/>
      <c r="H204" s="2"/>
      <c r="I204" s="2"/>
    </row>
    <row r="205" spans="4:9" ht="13" x14ac:dyDescent="0.15">
      <c r="D205" s="2"/>
      <c r="E205" s="2"/>
      <c r="F205" s="2"/>
      <c r="G205" s="2"/>
      <c r="H205" s="2"/>
      <c r="I205" s="2"/>
    </row>
    <row r="206" spans="4:9" ht="13" x14ac:dyDescent="0.15">
      <c r="D206" s="2"/>
      <c r="E206" s="2"/>
      <c r="F206" s="2"/>
      <c r="G206" s="2"/>
      <c r="H206" s="2"/>
      <c r="I206" s="2"/>
    </row>
    <row r="207" spans="4:9" ht="13" x14ac:dyDescent="0.15">
      <c r="D207" s="2"/>
      <c r="E207" s="2"/>
      <c r="F207" s="2"/>
      <c r="G207" s="2"/>
      <c r="H207" s="2"/>
      <c r="I207" s="2"/>
    </row>
    <row r="208" spans="4:9" ht="13" x14ac:dyDescent="0.15">
      <c r="D208" s="2"/>
      <c r="E208" s="2"/>
      <c r="F208" s="2"/>
      <c r="G208" s="2"/>
      <c r="H208" s="2"/>
      <c r="I208" s="2"/>
    </row>
    <row r="209" spans="4:9" ht="13" x14ac:dyDescent="0.15">
      <c r="D209" s="2"/>
      <c r="E209" s="2"/>
      <c r="F209" s="2"/>
      <c r="G209" s="2"/>
      <c r="H209" s="2"/>
      <c r="I209" s="2"/>
    </row>
    <row r="210" spans="4:9" ht="13" x14ac:dyDescent="0.15">
      <c r="D210" s="2"/>
      <c r="E210" s="2"/>
      <c r="F210" s="2"/>
      <c r="G210" s="2"/>
      <c r="H210" s="2"/>
      <c r="I210" s="2"/>
    </row>
    <row r="211" spans="4:9" ht="13" x14ac:dyDescent="0.15">
      <c r="D211" s="2"/>
      <c r="E211" s="2"/>
      <c r="F211" s="2"/>
      <c r="G211" s="2"/>
      <c r="H211" s="2"/>
      <c r="I211" s="2"/>
    </row>
    <row r="212" spans="4:9" ht="13" x14ac:dyDescent="0.15">
      <c r="D212" s="2"/>
      <c r="E212" s="2"/>
      <c r="F212" s="2"/>
      <c r="G212" s="2"/>
      <c r="H212" s="2"/>
      <c r="I212" s="2"/>
    </row>
    <row r="213" spans="4:9" ht="13" x14ac:dyDescent="0.15">
      <c r="D213" s="2"/>
      <c r="E213" s="2"/>
      <c r="F213" s="2"/>
      <c r="G213" s="2"/>
      <c r="H213" s="2"/>
      <c r="I213" s="2"/>
    </row>
    <row r="214" spans="4:9" ht="13" x14ac:dyDescent="0.15">
      <c r="D214" s="2"/>
      <c r="E214" s="2"/>
      <c r="F214" s="2"/>
      <c r="G214" s="2"/>
      <c r="H214" s="2"/>
      <c r="I214" s="2"/>
    </row>
    <row r="215" spans="4:9" ht="13" x14ac:dyDescent="0.15">
      <c r="D215" s="2"/>
      <c r="E215" s="2"/>
      <c r="F215" s="2"/>
      <c r="G215" s="2"/>
      <c r="H215" s="2"/>
      <c r="I215" s="2"/>
    </row>
    <row r="216" spans="4:9" ht="13" x14ac:dyDescent="0.15">
      <c r="D216" s="2"/>
      <c r="E216" s="2"/>
      <c r="F216" s="2"/>
      <c r="G216" s="2"/>
      <c r="H216" s="2"/>
      <c r="I216" s="2"/>
    </row>
    <row r="217" spans="4:9" ht="13" x14ac:dyDescent="0.15">
      <c r="D217" s="2"/>
      <c r="E217" s="2"/>
      <c r="F217" s="2"/>
      <c r="G217" s="2"/>
      <c r="H217" s="2"/>
      <c r="I217" s="2"/>
    </row>
    <row r="218" spans="4:9" ht="13" x14ac:dyDescent="0.15">
      <c r="D218" s="2"/>
      <c r="E218" s="2"/>
      <c r="F218" s="2"/>
      <c r="G218" s="2"/>
      <c r="H218" s="2"/>
      <c r="I218" s="2"/>
    </row>
    <row r="219" spans="4:9" ht="13" x14ac:dyDescent="0.15">
      <c r="D219" s="2"/>
      <c r="E219" s="2"/>
      <c r="F219" s="2"/>
      <c r="G219" s="2"/>
      <c r="H219" s="2"/>
      <c r="I219" s="2"/>
    </row>
    <row r="220" spans="4:9" ht="13" x14ac:dyDescent="0.15">
      <c r="D220" s="2"/>
      <c r="E220" s="2"/>
      <c r="F220" s="2"/>
      <c r="G220" s="2"/>
      <c r="H220" s="2"/>
      <c r="I220" s="2"/>
    </row>
    <row r="221" spans="4:9" ht="13" x14ac:dyDescent="0.15">
      <c r="D221" s="2"/>
      <c r="E221" s="2"/>
      <c r="F221" s="2"/>
      <c r="G221" s="2"/>
      <c r="H221" s="2"/>
      <c r="I221" s="2"/>
    </row>
    <row r="222" spans="4:9" ht="13" x14ac:dyDescent="0.15">
      <c r="D222" s="2"/>
      <c r="E222" s="2"/>
      <c r="F222" s="2"/>
      <c r="G222" s="2"/>
      <c r="H222" s="2"/>
      <c r="I222" s="2"/>
    </row>
    <row r="223" spans="4:9" ht="13" x14ac:dyDescent="0.15">
      <c r="D223" s="2"/>
      <c r="E223" s="2"/>
      <c r="F223" s="2"/>
      <c r="G223" s="2"/>
      <c r="H223" s="2"/>
      <c r="I223" s="2"/>
    </row>
    <row r="224" spans="4:9" ht="13" x14ac:dyDescent="0.15">
      <c r="D224" s="2"/>
      <c r="E224" s="2"/>
      <c r="F224" s="2"/>
      <c r="G224" s="2"/>
      <c r="H224" s="2"/>
      <c r="I224" s="2"/>
    </row>
    <row r="225" spans="4:9" ht="13" x14ac:dyDescent="0.15">
      <c r="D225" s="2"/>
      <c r="E225" s="2"/>
      <c r="F225" s="2"/>
      <c r="G225" s="2"/>
      <c r="H225" s="2"/>
      <c r="I225" s="2"/>
    </row>
    <row r="226" spans="4:9" ht="13" x14ac:dyDescent="0.15">
      <c r="D226" s="2"/>
      <c r="E226" s="2"/>
      <c r="F226" s="2"/>
      <c r="G226" s="2"/>
      <c r="H226" s="2"/>
      <c r="I226" s="2"/>
    </row>
    <row r="227" spans="4:9" ht="13" x14ac:dyDescent="0.15">
      <c r="D227" s="2"/>
      <c r="E227" s="2"/>
      <c r="F227" s="2"/>
      <c r="G227" s="2"/>
      <c r="H227" s="2"/>
      <c r="I227" s="2"/>
    </row>
    <row r="228" spans="4:9" ht="13" x14ac:dyDescent="0.15">
      <c r="D228" s="2"/>
      <c r="E228" s="2"/>
      <c r="F228" s="2"/>
      <c r="G228" s="2"/>
      <c r="H228" s="2"/>
      <c r="I228" s="2"/>
    </row>
    <row r="229" spans="4:9" ht="13" x14ac:dyDescent="0.15">
      <c r="D229" s="2"/>
      <c r="E229" s="2"/>
      <c r="F229" s="2"/>
      <c r="G229" s="2"/>
      <c r="H229" s="2"/>
      <c r="I229" s="2"/>
    </row>
    <row r="230" spans="4:9" ht="13" x14ac:dyDescent="0.15">
      <c r="D230" s="2"/>
      <c r="E230" s="2"/>
      <c r="F230" s="2"/>
      <c r="G230" s="2"/>
      <c r="H230" s="2"/>
      <c r="I230" s="2"/>
    </row>
    <row r="231" spans="4:9" ht="13" x14ac:dyDescent="0.15">
      <c r="D231" s="2"/>
      <c r="E231" s="2"/>
      <c r="F231" s="2"/>
      <c r="G231" s="2"/>
      <c r="H231" s="2"/>
      <c r="I231" s="2"/>
    </row>
    <row r="232" spans="4:9" ht="13" x14ac:dyDescent="0.15">
      <c r="D232" s="2"/>
      <c r="E232" s="2"/>
      <c r="F232" s="2"/>
      <c r="G232" s="2"/>
      <c r="H232" s="2"/>
      <c r="I232" s="2"/>
    </row>
    <row r="233" spans="4:9" ht="13" x14ac:dyDescent="0.15">
      <c r="D233" s="2"/>
      <c r="E233" s="2"/>
      <c r="F233" s="2"/>
      <c r="G233" s="2"/>
      <c r="H233" s="2"/>
      <c r="I233" s="2"/>
    </row>
    <row r="234" spans="4:9" ht="13" x14ac:dyDescent="0.15">
      <c r="D234" s="2"/>
      <c r="E234" s="2"/>
      <c r="F234" s="2"/>
      <c r="G234" s="2"/>
      <c r="H234" s="2"/>
      <c r="I234" s="2"/>
    </row>
    <row r="235" spans="4:9" ht="13" x14ac:dyDescent="0.15">
      <c r="D235" s="2"/>
      <c r="E235" s="2"/>
      <c r="F235" s="2"/>
      <c r="G235" s="2"/>
      <c r="H235" s="2"/>
      <c r="I235" s="2"/>
    </row>
    <row r="236" spans="4:9" ht="13" x14ac:dyDescent="0.15">
      <c r="D236" s="2"/>
      <c r="E236" s="2"/>
      <c r="F236" s="2"/>
      <c r="G236" s="2"/>
      <c r="H236" s="2"/>
      <c r="I236" s="2"/>
    </row>
    <row r="237" spans="4:9" ht="13" x14ac:dyDescent="0.15">
      <c r="D237" s="2"/>
      <c r="E237" s="2"/>
      <c r="F237" s="2"/>
      <c r="G237" s="2"/>
      <c r="H237" s="2"/>
      <c r="I237" s="2"/>
    </row>
    <row r="238" spans="4:9" ht="13" x14ac:dyDescent="0.15">
      <c r="D238" s="2"/>
      <c r="E238" s="2"/>
      <c r="F238" s="2"/>
      <c r="G238" s="2"/>
      <c r="H238" s="2"/>
      <c r="I238" s="2"/>
    </row>
    <row r="239" spans="4:9" ht="13" x14ac:dyDescent="0.15">
      <c r="D239" s="2"/>
      <c r="E239" s="2"/>
      <c r="F239" s="2"/>
      <c r="G239" s="2"/>
      <c r="H239" s="2"/>
      <c r="I239" s="2"/>
    </row>
    <row r="240" spans="4:9" ht="13" x14ac:dyDescent="0.15">
      <c r="D240" s="2"/>
      <c r="E240" s="2"/>
      <c r="F240" s="2"/>
      <c r="G240" s="2"/>
      <c r="H240" s="2"/>
      <c r="I240" s="2"/>
    </row>
    <row r="241" spans="4:9" ht="13" x14ac:dyDescent="0.15">
      <c r="D241" s="2"/>
      <c r="E241" s="2"/>
      <c r="F241" s="2"/>
      <c r="G241" s="2"/>
      <c r="H241" s="2"/>
      <c r="I241" s="2"/>
    </row>
    <row r="242" spans="4:9" ht="13" x14ac:dyDescent="0.15">
      <c r="D242" s="2"/>
      <c r="E242" s="2"/>
      <c r="F242" s="2"/>
      <c r="G242" s="2"/>
      <c r="H242" s="2"/>
      <c r="I242" s="2"/>
    </row>
    <row r="243" spans="4:9" ht="13" x14ac:dyDescent="0.15">
      <c r="D243" s="2"/>
      <c r="E243" s="2"/>
      <c r="F243" s="2"/>
      <c r="G243" s="2"/>
      <c r="H243" s="2"/>
      <c r="I243" s="2"/>
    </row>
    <row r="244" spans="4:9" ht="13" x14ac:dyDescent="0.15">
      <c r="D244" s="2"/>
      <c r="E244" s="2"/>
      <c r="F244" s="2"/>
      <c r="G244" s="2"/>
      <c r="H244" s="2"/>
      <c r="I244" s="2"/>
    </row>
    <row r="245" spans="4:9" ht="13" x14ac:dyDescent="0.15">
      <c r="D245" s="2"/>
      <c r="E245" s="2"/>
      <c r="F245" s="2"/>
      <c r="G245" s="2"/>
      <c r="H245" s="2"/>
      <c r="I245" s="2"/>
    </row>
    <row r="246" spans="4:9" ht="13" x14ac:dyDescent="0.15">
      <c r="D246" s="2"/>
      <c r="E246" s="2"/>
      <c r="F246" s="2"/>
      <c r="G246" s="2"/>
      <c r="H246" s="2"/>
      <c r="I246" s="2"/>
    </row>
    <row r="247" spans="4:9" ht="13" x14ac:dyDescent="0.15">
      <c r="D247" s="2"/>
      <c r="E247" s="2"/>
      <c r="F247" s="2"/>
      <c r="G247" s="2"/>
      <c r="H247" s="2"/>
      <c r="I247" s="2"/>
    </row>
    <row r="248" spans="4:9" ht="13" x14ac:dyDescent="0.15">
      <c r="D248" s="2"/>
      <c r="E248" s="2"/>
      <c r="F248" s="2"/>
      <c r="G248" s="2"/>
      <c r="H248" s="2"/>
      <c r="I248" s="2"/>
    </row>
    <row r="249" spans="4:9" ht="13" x14ac:dyDescent="0.15">
      <c r="D249" s="2"/>
      <c r="E249" s="2"/>
      <c r="F249" s="2"/>
      <c r="G249" s="2"/>
      <c r="H249" s="2"/>
      <c r="I249" s="2"/>
    </row>
    <row r="250" spans="4:9" ht="13" x14ac:dyDescent="0.15">
      <c r="D250" s="2"/>
      <c r="E250" s="2"/>
      <c r="F250" s="2"/>
      <c r="G250" s="2"/>
      <c r="H250" s="2"/>
      <c r="I250" s="2"/>
    </row>
    <row r="251" spans="4:9" ht="13" x14ac:dyDescent="0.15">
      <c r="D251" s="2"/>
      <c r="E251" s="2"/>
      <c r="F251" s="2"/>
      <c r="G251" s="2"/>
      <c r="H251" s="2"/>
      <c r="I251" s="2"/>
    </row>
    <row r="252" spans="4:9" ht="13" x14ac:dyDescent="0.15">
      <c r="D252" s="2"/>
      <c r="E252" s="2"/>
      <c r="F252" s="2"/>
      <c r="G252" s="2"/>
      <c r="H252" s="2"/>
      <c r="I252" s="2"/>
    </row>
    <row r="253" spans="4:9" ht="13" x14ac:dyDescent="0.15">
      <c r="D253" s="2"/>
      <c r="E253" s="2"/>
      <c r="F253" s="2"/>
      <c r="G253" s="2"/>
      <c r="H253" s="2"/>
      <c r="I253" s="2"/>
    </row>
    <row r="254" spans="4:9" ht="13" x14ac:dyDescent="0.15">
      <c r="D254" s="2"/>
      <c r="E254" s="2"/>
      <c r="F254" s="2"/>
      <c r="G254" s="2"/>
      <c r="H254" s="2"/>
      <c r="I254" s="2"/>
    </row>
    <row r="255" spans="4:9" ht="13" x14ac:dyDescent="0.15">
      <c r="D255" s="2"/>
      <c r="E255" s="2"/>
      <c r="F255" s="2"/>
      <c r="G255" s="2"/>
      <c r="H255" s="2"/>
      <c r="I255" s="2"/>
    </row>
    <row r="256" spans="4:9" ht="13" x14ac:dyDescent="0.15">
      <c r="D256" s="2"/>
      <c r="E256" s="2"/>
      <c r="F256" s="2"/>
      <c r="G256" s="2"/>
      <c r="H256" s="2"/>
      <c r="I256" s="2"/>
    </row>
    <row r="257" spans="4:9" ht="13" x14ac:dyDescent="0.15">
      <c r="D257" s="2"/>
      <c r="E257" s="2"/>
      <c r="F257" s="2"/>
      <c r="G257" s="2"/>
      <c r="H257" s="2"/>
      <c r="I257" s="2"/>
    </row>
    <row r="258" spans="4:9" ht="13" x14ac:dyDescent="0.15">
      <c r="D258" s="2"/>
      <c r="E258" s="2"/>
      <c r="F258" s="2"/>
      <c r="G258" s="2"/>
      <c r="H258" s="2"/>
      <c r="I258" s="2"/>
    </row>
    <row r="259" spans="4:9" ht="13" x14ac:dyDescent="0.15">
      <c r="D259" s="2"/>
      <c r="E259" s="2"/>
      <c r="F259" s="2"/>
      <c r="G259" s="2"/>
      <c r="H259" s="2"/>
      <c r="I259" s="2"/>
    </row>
    <row r="260" spans="4:9" ht="13" x14ac:dyDescent="0.15">
      <c r="D260" s="2"/>
      <c r="E260" s="2"/>
      <c r="F260" s="2"/>
      <c r="G260" s="2"/>
      <c r="H260" s="2"/>
      <c r="I260" s="2"/>
    </row>
    <row r="261" spans="4:9" ht="13" x14ac:dyDescent="0.15">
      <c r="D261" s="2"/>
      <c r="E261" s="2"/>
      <c r="F261" s="2"/>
      <c r="G261" s="2"/>
      <c r="H261" s="2"/>
      <c r="I261" s="2"/>
    </row>
    <row r="262" spans="4:9" ht="13" x14ac:dyDescent="0.15">
      <c r="D262" s="2"/>
      <c r="E262" s="2"/>
      <c r="F262" s="2"/>
      <c r="G262" s="2"/>
      <c r="H262" s="2"/>
      <c r="I262" s="2"/>
    </row>
    <row r="263" spans="4:9" ht="13" x14ac:dyDescent="0.15">
      <c r="D263" s="2"/>
      <c r="E263" s="2"/>
      <c r="F263" s="2"/>
      <c r="G263" s="2"/>
      <c r="H263" s="2"/>
      <c r="I263" s="2"/>
    </row>
    <row r="264" spans="4:9" ht="13" x14ac:dyDescent="0.15">
      <c r="D264" s="2"/>
      <c r="E264" s="2"/>
      <c r="F264" s="2"/>
      <c r="G264" s="2"/>
      <c r="H264" s="2"/>
      <c r="I264" s="2"/>
    </row>
    <row r="265" spans="4:9" ht="13" x14ac:dyDescent="0.15">
      <c r="D265" s="2"/>
      <c r="E265" s="2"/>
      <c r="F265" s="2"/>
      <c r="G265" s="2"/>
      <c r="H265" s="2"/>
      <c r="I265" s="2"/>
    </row>
    <row r="266" spans="4:9" ht="13" x14ac:dyDescent="0.15">
      <c r="D266" s="2"/>
      <c r="E266" s="2"/>
      <c r="F266" s="2"/>
      <c r="G266" s="2"/>
      <c r="H266" s="2"/>
      <c r="I266" s="2"/>
    </row>
    <row r="267" spans="4:9" ht="13" x14ac:dyDescent="0.15">
      <c r="D267" s="2"/>
      <c r="E267" s="2"/>
      <c r="F267" s="2"/>
      <c r="G267" s="2"/>
      <c r="H267" s="2"/>
      <c r="I267" s="2"/>
    </row>
    <row r="268" spans="4:9" ht="13" x14ac:dyDescent="0.15">
      <c r="D268" s="2"/>
      <c r="E268" s="2"/>
      <c r="F268" s="2"/>
      <c r="G268" s="2"/>
      <c r="H268" s="2"/>
      <c r="I268" s="2"/>
    </row>
    <row r="269" spans="4:9" ht="13" x14ac:dyDescent="0.15">
      <c r="D269" s="2"/>
      <c r="E269" s="2"/>
      <c r="F269" s="2"/>
      <c r="G269" s="2"/>
      <c r="H269" s="2"/>
      <c r="I269" s="2"/>
    </row>
    <row r="270" spans="4:9" ht="13" x14ac:dyDescent="0.15">
      <c r="D270" s="2"/>
      <c r="E270" s="2"/>
      <c r="F270" s="2"/>
      <c r="G270" s="2"/>
      <c r="H270" s="2"/>
      <c r="I270" s="2"/>
    </row>
    <row r="271" spans="4:9" ht="13" x14ac:dyDescent="0.15">
      <c r="D271" s="2"/>
      <c r="E271" s="2"/>
      <c r="F271" s="2"/>
      <c r="G271" s="2"/>
      <c r="H271" s="2"/>
      <c r="I271" s="2"/>
    </row>
    <row r="272" spans="4:9" ht="13" x14ac:dyDescent="0.15">
      <c r="D272" s="2"/>
      <c r="E272" s="2"/>
      <c r="F272" s="2"/>
      <c r="G272" s="2"/>
      <c r="H272" s="2"/>
      <c r="I272" s="2"/>
    </row>
    <row r="273" spans="4:9" ht="13" x14ac:dyDescent="0.15">
      <c r="D273" s="2"/>
      <c r="E273" s="2"/>
      <c r="F273" s="2"/>
      <c r="G273" s="2"/>
      <c r="H273" s="2"/>
      <c r="I273" s="2"/>
    </row>
    <row r="274" spans="4:9" ht="13" x14ac:dyDescent="0.15">
      <c r="D274" s="2"/>
      <c r="E274" s="2"/>
      <c r="F274" s="2"/>
      <c r="G274" s="2"/>
      <c r="H274" s="2"/>
      <c r="I274" s="2"/>
    </row>
    <row r="275" spans="4:9" ht="13" x14ac:dyDescent="0.15">
      <c r="D275" s="2"/>
      <c r="E275" s="2"/>
      <c r="F275" s="2"/>
      <c r="G275" s="2"/>
      <c r="H275" s="2"/>
      <c r="I275" s="2"/>
    </row>
    <row r="276" spans="4:9" ht="13" x14ac:dyDescent="0.15">
      <c r="D276" s="2"/>
      <c r="E276" s="2"/>
      <c r="F276" s="2"/>
      <c r="G276" s="2"/>
      <c r="H276" s="2"/>
      <c r="I276" s="2"/>
    </row>
    <row r="277" spans="4:9" ht="13" x14ac:dyDescent="0.15">
      <c r="D277" s="2"/>
      <c r="E277" s="2"/>
      <c r="F277" s="2"/>
      <c r="G277" s="2"/>
      <c r="H277" s="2"/>
      <c r="I277" s="2"/>
    </row>
    <row r="278" spans="4:9" ht="13" x14ac:dyDescent="0.15">
      <c r="D278" s="2"/>
      <c r="E278" s="2"/>
      <c r="F278" s="2"/>
      <c r="G278" s="2"/>
      <c r="H278" s="2"/>
      <c r="I278" s="2"/>
    </row>
    <row r="279" spans="4:9" ht="13" x14ac:dyDescent="0.15">
      <c r="D279" s="2"/>
      <c r="E279" s="2"/>
      <c r="F279" s="2"/>
      <c r="G279" s="2"/>
      <c r="H279" s="2"/>
      <c r="I279" s="2"/>
    </row>
    <row r="280" spans="4:9" ht="13" x14ac:dyDescent="0.15">
      <c r="D280" s="2"/>
      <c r="E280" s="2"/>
      <c r="F280" s="2"/>
      <c r="G280" s="2"/>
      <c r="H280" s="2"/>
      <c r="I280" s="2"/>
    </row>
    <row r="281" spans="4:9" ht="13" x14ac:dyDescent="0.15">
      <c r="D281" s="2"/>
      <c r="E281" s="2"/>
      <c r="F281" s="2"/>
      <c r="G281" s="2"/>
      <c r="H281" s="2"/>
      <c r="I281" s="2"/>
    </row>
    <row r="282" spans="4:9" ht="13" x14ac:dyDescent="0.15">
      <c r="D282" s="2"/>
      <c r="E282" s="2"/>
      <c r="F282" s="2"/>
      <c r="G282" s="2"/>
      <c r="H282" s="2"/>
      <c r="I282" s="2"/>
    </row>
    <row r="283" spans="4:9" ht="13" x14ac:dyDescent="0.15">
      <c r="D283" s="2"/>
      <c r="E283" s="2"/>
      <c r="F283" s="2"/>
      <c r="G283" s="2"/>
      <c r="H283" s="2"/>
      <c r="I283" s="2"/>
    </row>
    <row r="284" spans="4:9" ht="13" x14ac:dyDescent="0.15">
      <c r="D284" s="2"/>
      <c r="E284" s="2"/>
      <c r="F284" s="2"/>
      <c r="G284" s="2"/>
      <c r="H284" s="2"/>
      <c r="I284" s="2"/>
    </row>
    <row r="285" spans="4:9" ht="13" x14ac:dyDescent="0.15">
      <c r="D285" s="2"/>
      <c r="E285" s="2"/>
      <c r="F285" s="2"/>
      <c r="G285" s="2"/>
      <c r="H285" s="2"/>
      <c r="I285" s="2"/>
    </row>
    <row r="286" spans="4:9" ht="13" x14ac:dyDescent="0.15">
      <c r="D286" s="2"/>
      <c r="E286" s="2"/>
      <c r="F286" s="2"/>
      <c r="G286" s="2"/>
      <c r="H286" s="2"/>
      <c r="I286" s="2"/>
    </row>
    <row r="287" spans="4:9" ht="13" x14ac:dyDescent="0.15">
      <c r="D287" s="2"/>
      <c r="E287" s="2"/>
      <c r="F287" s="2"/>
      <c r="G287" s="2"/>
      <c r="H287" s="2"/>
      <c r="I287" s="2"/>
    </row>
    <row r="288" spans="4:9" ht="13" x14ac:dyDescent="0.15">
      <c r="D288" s="2"/>
      <c r="E288" s="2"/>
      <c r="F288" s="2"/>
      <c r="G288" s="2"/>
      <c r="H288" s="2"/>
      <c r="I288" s="2"/>
    </row>
    <row r="289" spans="4:9" ht="13" x14ac:dyDescent="0.15">
      <c r="D289" s="2"/>
      <c r="E289" s="2"/>
      <c r="F289" s="2"/>
      <c r="G289" s="2"/>
      <c r="H289" s="2"/>
      <c r="I289" s="2"/>
    </row>
    <row r="290" spans="4:9" ht="13" x14ac:dyDescent="0.15">
      <c r="D290" s="2"/>
      <c r="E290" s="2"/>
      <c r="F290" s="2"/>
      <c r="G290" s="2"/>
      <c r="H290" s="2"/>
      <c r="I290" s="2"/>
    </row>
    <row r="291" spans="4:9" ht="13" x14ac:dyDescent="0.15">
      <c r="D291" s="2"/>
      <c r="E291" s="2"/>
      <c r="F291" s="2"/>
      <c r="G291" s="2"/>
      <c r="H291" s="2"/>
      <c r="I291" s="2"/>
    </row>
    <row r="292" spans="4:9" ht="13" x14ac:dyDescent="0.15">
      <c r="D292" s="2"/>
      <c r="E292" s="2"/>
      <c r="F292" s="2"/>
      <c r="G292" s="2"/>
      <c r="H292" s="2"/>
      <c r="I292" s="2"/>
    </row>
    <row r="293" spans="4:9" ht="13" x14ac:dyDescent="0.15">
      <c r="D293" s="2"/>
      <c r="E293" s="2"/>
      <c r="F293" s="2"/>
      <c r="G293" s="2"/>
      <c r="H293" s="2"/>
      <c r="I293" s="2"/>
    </row>
    <row r="294" spans="4:9" ht="13" x14ac:dyDescent="0.15">
      <c r="D294" s="2"/>
      <c r="E294" s="2"/>
      <c r="F294" s="2"/>
      <c r="G294" s="2"/>
      <c r="H294" s="2"/>
      <c r="I294" s="2"/>
    </row>
    <row r="295" spans="4:9" ht="13" x14ac:dyDescent="0.15">
      <c r="D295" s="2"/>
      <c r="E295" s="2"/>
      <c r="F295" s="2"/>
      <c r="G295" s="2"/>
      <c r="H295" s="2"/>
      <c r="I295" s="2"/>
    </row>
    <row r="296" spans="4:9" ht="13" x14ac:dyDescent="0.15">
      <c r="D296" s="2"/>
      <c r="E296" s="2"/>
      <c r="F296" s="2"/>
      <c r="G296" s="2"/>
      <c r="H296" s="2"/>
      <c r="I296" s="2"/>
    </row>
    <row r="297" spans="4:9" ht="13" x14ac:dyDescent="0.15">
      <c r="D297" s="2"/>
      <c r="E297" s="2"/>
      <c r="F297" s="2"/>
      <c r="G297" s="2"/>
      <c r="H297" s="2"/>
      <c r="I297" s="2"/>
    </row>
    <row r="298" spans="4:9" ht="13" x14ac:dyDescent="0.15">
      <c r="D298" s="2"/>
      <c r="E298" s="2"/>
      <c r="F298" s="2"/>
      <c r="G298" s="2"/>
      <c r="H298" s="2"/>
      <c r="I298" s="2"/>
    </row>
    <row r="299" spans="4:9" ht="13" x14ac:dyDescent="0.15">
      <c r="D299" s="2"/>
      <c r="E299" s="2"/>
      <c r="F299" s="2"/>
      <c r="G299" s="2"/>
      <c r="H299" s="2"/>
      <c r="I299" s="2"/>
    </row>
    <row r="300" spans="4:9" ht="13" x14ac:dyDescent="0.15">
      <c r="D300" s="2"/>
      <c r="E300" s="2"/>
      <c r="F300" s="2"/>
      <c r="G300" s="2"/>
      <c r="H300" s="2"/>
      <c r="I300" s="2"/>
    </row>
    <row r="301" spans="4:9" ht="13" x14ac:dyDescent="0.15">
      <c r="D301" s="2"/>
      <c r="E301" s="2"/>
      <c r="F301" s="2"/>
      <c r="G301" s="2"/>
      <c r="H301" s="2"/>
      <c r="I301" s="2"/>
    </row>
    <row r="302" spans="4:9" ht="13" x14ac:dyDescent="0.15">
      <c r="D302" s="2"/>
      <c r="E302" s="2"/>
      <c r="F302" s="2"/>
      <c r="G302" s="2"/>
      <c r="H302" s="2"/>
      <c r="I302" s="2"/>
    </row>
    <row r="303" spans="4:9" ht="13" x14ac:dyDescent="0.15">
      <c r="D303" s="2"/>
      <c r="E303" s="2"/>
      <c r="F303" s="2"/>
      <c r="G303" s="2"/>
      <c r="H303" s="2"/>
      <c r="I303" s="2"/>
    </row>
    <row r="304" spans="4:9" ht="13" x14ac:dyDescent="0.15">
      <c r="D304" s="2"/>
      <c r="E304" s="2"/>
      <c r="F304" s="2"/>
      <c r="G304" s="2"/>
      <c r="H304" s="2"/>
      <c r="I304" s="2"/>
    </row>
    <row r="305" spans="4:9" ht="13" x14ac:dyDescent="0.15">
      <c r="D305" s="2"/>
      <c r="E305" s="2"/>
      <c r="F305" s="2"/>
      <c r="G305" s="2"/>
      <c r="H305" s="2"/>
      <c r="I305" s="2"/>
    </row>
    <row r="306" spans="4:9" ht="13" x14ac:dyDescent="0.15">
      <c r="D306" s="2"/>
      <c r="E306" s="2"/>
      <c r="F306" s="2"/>
      <c r="G306" s="2"/>
      <c r="H306" s="2"/>
      <c r="I306" s="2"/>
    </row>
    <row r="307" spans="4:9" ht="13" x14ac:dyDescent="0.15">
      <c r="D307" s="2"/>
      <c r="E307" s="2"/>
      <c r="F307" s="2"/>
      <c r="G307" s="2"/>
      <c r="H307" s="2"/>
      <c r="I307" s="2"/>
    </row>
    <row r="308" spans="4:9" ht="13" x14ac:dyDescent="0.15">
      <c r="D308" s="2"/>
      <c r="E308" s="2"/>
      <c r="F308" s="2"/>
      <c r="G308" s="2"/>
      <c r="H308" s="2"/>
      <c r="I308" s="2"/>
    </row>
    <row r="309" spans="4:9" ht="13" x14ac:dyDescent="0.15">
      <c r="D309" s="2"/>
      <c r="E309" s="2"/>
      <c r="F309" s="2"/>
      <c r="G309" s="2"/>
      <c r="H309" s="2"/>
      <c r="I309" s="2"/>
    </row>
    <row r="310" spans="4:9" ht="13" x14ac:dyDescent="0.15">
      <c r="D310" s="2"/>
      <c r="E310" s="2"/>
      <c r="F310" s="2"/>
      <c r="G310" s="2"/>
      <c r="H310" s="2"/>
      <c r="I310" s="2"/>
    </row>
    <row r="311" spans="4:9" ht="13" x14ac:dyDescent="0.15">
      <c r="D311" s="2"/>
      <c r="E311" s="2"/>
      <c r="F311" s="2"/>
      <c r="G311" s="2"/>
      <c r="H311" s="2"/>
      <c r="I311" s="2"/>
    </row>
    <row r="312" spans="4:9" ht="13" x14ac:dyDescent="0.15">
      <c r="D312" s="2"/>
      <c r="E312" s="2"/>
      <c r="F312" s="2"/>
      <c r="G312" s="2"/>
      <c r="H312" s="2"/>
      <c r="I312" s="2"/>
    </row>
    <row r="313" spans="4:9" ht="13" x14ac:dyDescent="0.15">
      <c r="D313" s="2"/>
      <c r="E313" s="2"/>
      <c r="F313" s="2"/>
      <c r="G313" s="2"/>
      <c r="H313" s="2"/>
      <c r="I313" s="2"/>
    </row>
    <row r="314" spans="4:9" ht="13" x14ac:dyDescent="0.15">
      <c r="D314" s="2"/>
      <c r="E314" s="2"/>
      <c r="F314" s="2"/>
      <c r="G314" s="2"/>
      <c r="H314" s="2"/>
      <c r="I314" s="2"/>
    </row>
    <row r="315" spans="4:9" ht="13" x14ac:dyDescent="0.15">
      <c r="D315" s="2"/>
      <c r="E315" s="2"/>
      <c r="F315" s="2"/>
      <c r="G315" s="2"/>
      <c r="H315" s="2"/>
      <c r="I315" s="2"/>
    </row>
    <row r="316" spans="4:9" ht="13" x14ac:dyDescent="0.15">
      <c r="D316" s="2"/>
      <c r="E316" s="2"/>
      <c r="F316" s="2"/>
      <c r="G316" s="2"/>
      <c r="H316" s="2"/>
      <c r="I316" s="2"/>
    </row>
    <row r="317" spans="4:9" ht="13" x14ac:dyDescent="0.15">
      <c r="D317" s="2"/>
      <c r="E317" s="2"/>
      <c r="F317" s="2"/>
      <c r="G317" s="2"/>
      <c r="H317" s="2"/>
      <c r="I317" s="2"/>
    </row>
    <row r="318" spans="4:9" ht="13" x14ac:dyDescent="0.15">
      <c r="D318" s="2"/>
      <c r="E318" s="2"/>
      <c r="F318" s="2"/>
      <c r="G318" s="2"/>
      <c r="H318" s="2"/>
      <c r="I318" s="2"/>
    </row>
    <row r="319" spans="4:9" ht="13" x14ac:dyDescent="0.15">
      <c r="D319" s="2"/>
      <c r="E319" s="2"/>
      <c r="F319" s="2"/>
      <c r="G319" s="2"/>
      <c r="H319" s="2"/>
      <c r="I319" s="2"/>
    </row>
    <row r="320" spans="4:9" ht="13" x14ac:dyDescent="0.15">
      <c r="D320" s="2"/>
      <c r="E320" s="2"/>
      <c r="F320" s="2"/>
      <c r="G320" s="2"/>
      <c r="H320" s="2"/>
      <c r="I320" s="2"/>
    </row>
    <row r="321" spans="4:9" ht="13" x14ac:dyDescent="0.15">
      <c r="D321" s="2"/>
      <c r="E321" s="2"/>
      <c r="F321" s="2"/>
      <c r="G321" s="2"/>
      <c r="H321" s="2"/>
      <c r="I321" s="2"/>
    </row>
    <row r="322" spans="4:9" ht="13" x14ac:dyDescent="0.15">
      <c r="D322" s="2"/>
      <c r="E322" s="2"/>
      <c r="F322" s="2"/>
      <c r="G322" s="2"/>
      <c r="H322" s="2"/>
      <c r="I322" s="2"/>
    </row>
    <row r="323" spans="4:9" ht="13" x14ac:dyDescent="0.15">
      <c r="D323" s="2"/>
      <c r="E323" s="2"/>
      <c r="F323" s="2"/>
      <c r="G323" s="2"/>
      <c r="H323" s="2"/>
      <c r="I323" s="2"/>
    </row>
    <row r="324" spans="4:9" ht="13" x14ac:dyDescent="0.15">
      <c r="D324" s="2"/>
      <c r="E324" s="2"/>
      <c r="F324" s="2"/>
      <c r="G324" s="2"/>
      <c r="H324" s="2"/>
      <c r="I324" s="2"/>
    </row>
    <row r="325" spans="4:9" ht="13" x14ac:dyDescent="0.15">
      <c r="D325" s="2"/>
      <c r="E325" s="2"/>
      <c r="F325" s="2"/>
      <c r="G325" s="2"/>
      <c r="H325" s="2"/>
      <c r="I325" s="2"/>
    </row>
    <row r="326" spans="4:9" ht="13" x14ac:dyDescent="0.15">
      <c r="D326" s="2"/>
      <c r="E326" s="2"/>
      <c r="F326" s="2"/>
      <c r="G326" s="2"/>
      <c r="H326" s="2"/>
      <c r="I326" s="2"/>
    </row>
    <row r="327" spans="4:9" ht="13" x14ac:dyDescent="0.15">
      <c r="D327" s="2"/>
      <c r="E327" s="2"/>
      <c r="F327" s="2"/>
      <c r="G327" s="2"/>
      <c r="H327" s="2"/>
      <c r="I327" s="2"/>
    </row>
    <row r="328" spans="4:9" ht="13" x14ac:dyDescent="0.15">
      <c r="D328" s="2"/>
      <c r="E328" s="2"/>
      <c r="F328" s="2"/>
      <c r="G328" s="2"/>
      <c r="H328" s="2"/>
      <c r="I328" s="2"/>
    </row>
    <row r="329" spans="4:9" ht="13" x14ac:dyDescent="0.15">
      <c r="D329" s="2"/>
      <c r="E329" s="2"/>
      <c r="F329" s="2"/>
      <c r="G329" s="2"/>
      <c r="H329" s="2"/>
      <c r="I329" s="2"/>
    </row>
    <row r="330" spans="4:9" ht="13" x14ac:dyDescent="0.15">
      <c r="D330" s="2"/>
      <c r="E330" s="2"/>
      <c r="F330" s="2"/>
      <c r="G330" s="2"/>
      <c r="H330" s="2"/>
      <c r="I330" s="2"/>
    </row>
    <row r="331" spans="4:9" ht="13" x14ac:dyDescent="0.15">
      <c r="D331" s="2"/>
      <c r="E331" s="2"/>
      <c r="F331" s="2"/>
      <c r="G331" s="2"/>
      <c r="H331" s="2"/>
      <c r="I331" s="2"/>
    </row>
    <row r="332" spans="4:9" ht="13" x14ac:dyDescent="0.15">
      <c r="D332" s="2"/>
      <c r="E332" s="2"/>
      <c r="F332" s="2"/>
      <c r="G332" s="2"/>
      <c r="H332" s="2"/>
      <c r="I332" s="2"/>
    </row>
    <row r="333" spans="4:9" ht="13" x14ac:dyDescent="0.15">
      <c r="D333" s="2"/>
      <c r="E333" s="2"/>
      <c r="F333" s="2"/>
      <c r="G333" s="2"/>
      <c r="H333" s="2"/>
      <c r="I333" s="2"/>
    </row>
    <row r="334" spans="4:9" ht="13" x14ac:dyDescent="0.15">
      <c r="D334" s="2"/>
      <c r="E334" s="2"/>
      <c r="F334" s="2"/>
      <c r="G334" s="2"/>
      <c r="H334" s="2"/>
      <c r="I334" s="2"/>
    </row>
    <row r="335" spans="4:9" ht="13" x14ac:dyDescent="0.15">
      <c r="D335" s="2"/>
      <c r="E335" s="2"/>
      <c r="F335" s="2"/>
      <c r="G335" s="2"/>
      <c r="H335" s="2"/>
      <c r="I335" s="2"/>
    </row>
    <row r="336" spans="4:9" ht="13" x14ac:dyDescent="0.15">
      <c r="D336" s="2"/>
      <c r="E336" s="2"/>
      <c r="F336" s="2"/>
      <c r="G336" s="2"/>
      <c r="H336" s="2"/>
      <c r="I336" s="2"/>
    </row>
    <row r="337" spans="4:9" ht="13" x14ac:dyDescent="0.15">
      <c r="D337" s="2"/>
      <c r="E337" s="2"/>
      <c r="F337" s="2"/>
      <c r="G337" s="2"/>
      <c r="H337" s="2"/>
      <c r="I337" s="2"/>
    </row>
    <row r="338" spans="4:9" ht="13" x14ac:dyDescent="0.15">
      <c r="D338" s="2"/>
      <c r="E338" s="2"/>
      <c r="F338" s="2"/>
      <c r="G338" s="2"/>
      <c r="H338" s="2"/>
      <c r="I338" s="2"/>
    </row>
    <row r="339" spans="4:9" ht="13" x14ac:dyDescent="0.15">
      <c r="D339" s="2"/>
      <c r="E339" s="2"/>
      <c r="F339" s="2"/>
      <c r="G339" s="2"/>
      <c r="H339" s="2"/>
      <c r="I339" s="2"/>
    </row>
    <row r="340" spans="4:9" ht="13" x14ac:dyDescent="0.15">
      <c r="D340" s="2"/>
      <c r="E340" s="2"/>
      <c r="F340" s="2"/>
      <c r="G340" s="2"/>
      <c r="H340" s="2"/>
      <c r="I340" s="2"/>
    </row>
    <row r="341" spans="4:9" ht="13" x14ac:dyDescent="0.15">
      <c r="D341" s="2"/>
      <c r="E341" s="2"/>
      <c r="F341" s="2"/>
      <c r="G341" s="2"/>
      <c r="H341" s="2"/>
      <c r="I341" s="2"/>
    </row>
    <row r="342" spans="4:9" ht="13" x14ac:dyDescent="0.15">
      <c r="D342" s="2"/>
      <c r="E342" s="2"/>
      <c r="F342" s="2"/>
      <c r="G342" s="2"/>
      <c r="H342" s="2"/>
      <c r="I342" s="2"/>
    </row>
    <row r="343" spans="4:9" ht="13" x14ac:dyDescent="0.15">
      <c r="D343" s="2"/>
      <c r="E343" s="2"/>
      <c r="F343" s="2"/>
      <c r="G343" s="2"/>
      <c r="H343" s="2"/>
      <c r="I343" s="2"/>
    </row>
    <row r="344" spans="4:9" ht="13" x14ac:dyDescent="0.15">
      <c r="D344" s="2"/>
      <c r="E344" s="2"/>
      <c r="F344" s="2"/>
      <c r="G344" s="2"/>
      <c r="H344" s="2"/>
      <c r="I344" s="2"/>
    </row>
    <row r="345" spans="4:9" ht="13" x14ac:dyDescent="0.15">
      <c r="D345" s="2"/>
      <c r="E345" s="2"/>
      <c r="F345" s="2"/>
      <c r="G345" s="2"/>
      <c r="H345" s="2"/>
      <c r="I345" s="2"/>
    </row>
    <row r="346" spans="4:9" ht="13" x14ac:dyDescent="0.15">
      <c r="D346" s="2"/>
      <c r="E346" s="2"/>
      <c r="F346" s="2"/>
      <c r="G346" s="2"/>
      <c r="H346" s="2"/>
      <c r="I346" s="2"/>
    </row>
    <row r="347" spans="4:9" ht="13" x14ac:dyDescent="0.15">
      <c r="D347" s="2"/>
      <c r="E347" s="2"/>
      <c r="F347" s="2"/>
      <c r="G347" s="2"/>
      <c r="H347" s="2"/>
      <c r="I347" s="2"/>
    </row>
    <row r="348" spans="4:9" ht="13" x14ac:dyDescent="0.15">
      <c r="D348" s="2"/>
      <c r="E348" s="2"/>
      <c r="F348" s="2"/>
      <c r="G348" s="2"/>
      <c r="H348" s="2"/>
      <c r="I348" s="2"/>
    </row>
    <row r="349" spans="4:9" ht="13" x14ac:dyDescent="0.15">
      <c r="D349" s="2"/>
      <c r="E349" s="2"/>
      <c r="F349" s="2"/>
      <c r="G349" s="2"/>
      <c r="H349" s="2"/>
      <c r="I349" s="2"/>
    </row>
    <row r="350" spans="4:9" ht="13" x14ac:dyDescent="0.15">
      <c r="D350" s="2"/>
      <c r="E350" s="2"/>
      <c r="F350" s="2"/>
      <c r="G350" s="2"/>
      <c r="H350" s="2"/>
      <c r="I350" s="2"/>
    </row>
    <row r="351" spans="4:9" ht="13" x14ac:dyDescent="0.15">
      <c r="D351" s="2"/>
      <c r="E351" s="2"/>
      <c r="F351" s="2"/>
      <c r="G351" s="2"/>
      <c r="H351" s="2"/>
      <c r="I351" s="2"/>
    </row>
    <row r="352" spans="4:9" ht="13" x14ac:dyDescent="0.15">
      <c r="D352" s="2"/>
      <c r="E352" s="2"/>
      <c r="F352" s="2"/>
      <c r="G352" s="2"/>
      <c r="H352" s="2"/>
      <c r="I352" s="2"/>
    </row>
    <row r="353" spans="4:9" ht="13" x14ac:dyDescent="0.15">
      <c r="D353" s="2"/>
      <c r="E353" s="2"/>
      <c r="F353" s="2"/>
      <c r="G353" s="2"/>
      <c r="H353" s="2"/>
      <c r="I353" s="2"/>
    </row>
    <row r="354" spans="4:9" ht="13" x14ac:dyDescent="0.15">
      <c r="D354" s="2"/>
      <c r="E354" s="2"/>
      <c r="F354" s="2"/>
      <c r="G354" s="2"/>
      <c r="H354" s="2"/>
      <c r="I354" s="2"/>
    </row>
    <row r="355" spans="4:9" ht="13" x14ac:dyDescent="0.15">
      <c r="D355" s="2"/>
      <c r="E355" s="2"/>
      <c r="F355" s="2"/>
      <c r="G355" s="2"/>
      <c r="H355" s="2"/>
      <c r="I355" s="2"/>
    </row>
    <row r="356" spans="4:9" ht="13" x14ac:dyDescent="0.15">
      <c r="D356" s="2"/>
      <c r="E356" s="2"/>
      <c r="F356" s="2"/>
      <c r="G356" s="2"/>
      <c r="H356" s="2"/>
      <c r="I356" s="2"/>
    </row>
    <row r="357" spans="4:9" ht="13" x14ac:dyDescent="0.15">
      <c r="D357" s="2"/>
      <c r="E357" s="2"/>
      <c r="F357" s="2"/>
      <c r="G357" s="2"/>
      <c r="H357" s="2"/>
      <c r="I357" s="2"/>
    </row>
    <row r="358" spans="4:9" ht="13" x14ac:dyDescent="0.15">
      <c r="D358" s="2"/>
      <c r="E358" s="2"/>
      <c r="F358" s="2"/>
      <c r="G358" s="2"/>
      <c r="H358" s="2"/>
      <c r="I358" s="2"/>
    </row>
    <row r="359" spans="4:9" ht="13" x14ac:dyDescent="0.15">
      <c r="D359" s="2"/>
      <c r="E359" s="2"/>
      <c r="F359" s="2"/>
      <c r="G359" s="2"/>
      <c r="H359" s="2"/>
      <c r="I359" s="2"/>
    </row>
    <row r="360" spans="4:9" ht="13" x14ac:dyDescent="0.15">
      <c r="D360" s="2"/>
      <c r="E360" s="2"/>
      <c r="F360" s="2"/>
      <c r="G360" s="2"/>
      <c r="H360" s="2"/>
      <c r="I360" s="2"/>
    </row>
    <row r="361" spans="4:9" ht="13" x14ac:dyDescent="0.15">
      <c r="D361" s="2"/>
      <c r="E361" s="2"/>
      <c r="F361" s="2"/>
      <c r="G361" s="2"/>
      <c r="H361" s="2"/>
      <c r="I361" s="2"/>
    </row>
    <row r="362" spans="4:9" ht="13" x14ac:dyDescent="0.15">
      <c r="D362" s="2"/>
      <c r="E362" s="2"/>
      <c r="F362" s="2"/>
      <c r="G362" s="2"/>
      <c r="H362" s="2"/>
      <c r="I362" s="2"/>
    </row>
    <row r="363" spans="4:9" ht="13" x14ac:dyDescent="0.15">
      <c r="D363" s="2"/>
      <c r="E363" s="2"/>
      <c r="F363" s="2"/>
      <c r="G363" s="2"/>
      <c r="H363" s="2"/>
      <c r="I363" s="2"/>
    </row>
    <row r="364" spans="4:9" ht="13" x14ac:dyDescent="0.15">
      <c r="D364" s="2"/>
      <c r="E364" s="2"/>
      <c r="F364" s="2"/>
      <c r="G364" s="2"/>
      <c r="H364" s="2"/>
      <c r="I364" s="2"/>
    </row>
    <row r="365" spans="4:9" ht="13" x14ac:dyDescent="0.15">
      <c r="D365" s="2"/>
      <c r="E365" s="2"/>
      <c r="F365" s="2"/>
      <c r="G365" s="2"/>
      <c r="H365" s="2"/>
      <c r="I365" s="2"/>
    </row>
    <row r="366" spans="4:9" ht="13" x14ac:dyDescent="0.15">
      <c r="D366" s="2"/>
      <c r="E366" s="2"/>
      <c r="F366" s="2"/>
      <c r="G366" s="2"/>
      <c r="H366" s="2"/>
      <c r="I366" s="2"/>
    </row>
    <row r="367" spans="4:9" ht="13" x14ac:dyDescent="0.15">
      <c r="D367" s="2"/>
      <c r="E367" s="2"/>
      <c r="F367" s="2"/>
      <c r="G367" s="2"/>
      <c r="H367" s="2"/>
      <c r="I367" s="2"/>
    </row>
    <row r="368" spans="4:9" ht="13" x14ac:dyDescent="0.15">
      <c r="D368" s="2"/>
      <c r="E368" s="2"/>
      <c r="F368" s="2"/>
      <c r="G368" s="2"/>
      <c r="H368" s="2"/>
      <c r="I368" s="2"/>
    </row>
    <row r="369" spans="4:9" ht="13" x14ac:dyDescent="0.15">
      <c r="D369" s="2"/>
      <c r="E369" s="2"/>
      <c r="F369" s="2"/>
      <c r="G369" s="2"/>
      <c r="H369" s="2"/>
      <c r="I369" s="2"/>
    </row>
    <row r="370" spans="4:9" ht="13" x14ac:dyDescent="0.15">
      <c r="D370" s="2"/>
      <c r="E370" s="2"/>
      <c r="F370" s="2"/>
      <c r="G370" s="2"/>
      <c r="H370" s="2"/>
      <c r="I370" s="2"/>
    </row>
    <row r="371" spans="4:9" ht="13" x14ac:dyDescent="0.15">
      <c r="D371" s="2"/>
      <c r="E371" s="2"/>
      <c r="F371" s="2"/>
      <c r="G371" s="2"/>
      <c r="H371" s="2"/>
      <c r="I371" s="2"/>
    </row>
    <row r="372" spans="4:9" ht="13" x14ac:dyDescent="0.15">
      <c r="D372" s="2"/>
      <c r="E372" s="2"/>
      <c r="F372" s="2"/>
      <c r="G372" s="2"/>
      <c r="H372" s="2"/>
      <c r="I372" s="2"/>
    </row>
    <row r="373" spans="4:9" ht="13" x14ac:dyDescent="0.15">
      <c r="D373" s="2"/>
      <c r="E373" s="2"/>
      <c r="F373" s="2"/>
      <c r="G373" s="2"/>
      <c r="H373" s="2"/>
      <c r="I373" s="2"/>
    </row>
    <row r="374" spans="4:9" ht="13" x14ac:dyDescent="0.15">
      <c r="D374" s="2"/>
      <c r="E374" s="2"/>
      <c r="F374" s="2"/>
      <c r="G374" s="2"/>
      <c r="H374" s="2"/>
      <c r="I374" s="2"/>
    </row>
    <row r="375" spans="4:9" ht="13" x14ac:dyDescent="0.15">
      <c r="D375" s="2"/>
      <c r="E375" s="2"/>
      <c r="F375" s="2"/>
      <c r="G375" s="2"/>
      <c r="H375" s="2"/>
      <c r="I375" s="2"/>
    </row>
    <row r="376" spans="4:9" ht="13" x14ac:dyDescent="0.15">
      <c r="D376" s="2"/>
      <c r="E376" s="2"/>
      <c r="F376" s="2"/>
      <c r="G376" s="2"/>
      <c r="H376" s="2"/>
      <c r="I376" s="2"/>
    </row>
    <row r="377" spans="4:9" ht="13" x14ac:dyDescent="0.15">
      <c r="D377" s="2"/>
      <c r="E377" s="2"/>
      <c r="F377" s="2"/>
      <c r="G377" s="2"/>
      <c r="H377" s="2"/>
      <c r="I377" s="2"/>
    </row>
    <row r="378" spans="4:9" ht="13" x14ac:dyDescent="0.15">
      <c r="D378" s="2"/>
      <c r="E378" s="2"/>
      <c r="F378" s="2"/>
      <c r="G378" s="2"/>
      <c r="H378" s="2"/>
      <c r="I378" s="2"/>
    </row>
    <row r="379" spans="4:9" ht="13" x14ac:dyDescent="0.15">
      <c r="D379" s="2"/>
      <c r="E379" s="2"/>
      <c r="F379" s="2"/>
      <c r="G379" s="2"/>
      <c r="H379" s="2"/>
      <c r="I379" s="2"/>
    </row>
    <row r="380" spans="4:9" ht="13" x14ac:dyDescent="0.15">
      <c r="D380" s="2"/>
      <c r="E380" s="2"/>
      <c r="F380" s="2"/>
      <c r="G380" s="2"/>
      <c r="H380" s="2"/>
      <c r="I380" s="2"/>
    </row>
    <row r="381" spans="4:9" ht="13" x14ac:dyDescent="0.15">
      <c r="D381" s="2"/>
      <c r="E381" s="2"/>
      <c r="F381" s="2"/>
      <c r="G381" s="2"/>
      <c r="H381" s="2"/>
      <c r="I381" s="2"/>
    </row>
    <row r="382" spans="4:9" ht="13" x14ac:dyDescent="0.15">
      <c r="D382" s="2"/>
      <c r="E382" s="2"/>
      <c r="F382" s="2"/>
      <c r="G382" s="2"/>
      <c r="H382" s="2"/>
      <c r="I382" s="2"/>
    </row>
    <row r="383" spans="4:9" ht="13" x14ac:dyDescent="0.15">
      <c r="D383" s="2"/>
      <c r="E383" s="2"/>
      <c r="F383" s="2"/>
      <c r="G383" s="2"/>
      <c r="H383" s="2"/>
      <c r="I383" s="2"/>
    </row>
    <row r="384" spans="4:9" ht="13" x14ac:dyDescent="0.15">
      <c r="D384" s="2"/>
      <c r="E384" s="2"/>
      <c r="F384" s="2"/>
      <c r="G384" s="2"/>
      <c r="H384" s="2"/>
      <c r="I384" s="2"/>
    </row>
    <row r="385" spans="4:9" ht="13" x14ac:dyDescent="0.15">
      <c r="D385" s="2"/>
      <c r="E385" s="2"/>
      <c r="F385" s="2"/>
      <c r="G385" s="2"/>
      <c r="H385" s="2"/>
      <c r="I385" s="2"/>
    </row>
    <row r="386" spans="4:9" ht="13" x14ac:dyDescent="0.15">
      <c r="D386" s="2"/>
      <c r="E386" s="2"/>
      <c r="F386" s="2"/>
      <c r="G386" s="2"/>
      <c r="H386" s="2"/>
      <c r="I386" s="2"/>
    </row>
    <row r="387" spans="4:9" ht="13" x14ac:dyDescent="0.15">
      <c r="D387" s="2"/>
      <c r="E387" s="2"/>
      <c r="F387" s="2"/>
      <c r="G387" s="2"/>
      <c r="H387" s="2"/>
      <c r="I387" s="2"/>
    </row>
    <row r="388" spans="4:9" ht="13" x14ac:dyDescent="0.15">
      <c r="D388" s="2"/>
      <c r="E388" s="2"/>
      <c r="F388" s="2"/>
      <c r="G388" s="2"/>
      <c r="H388" s="2"/>
      <c r="I388" s="2"/>
    </row>
    <row r="389" spans="4:9" ht="13" x14ac:dyDescent="0.15">
      <c r="D389" s="2"/>
      <c r="E389" s="2"/>
      <c r="F389" s="2"/>
      <c r="G389" s="2"/>
      <c r="H389" s="2"/>
      <c r="I389" s="2"/>
    </row>
    <row r="390" spans="4:9" ht="13" x14ac:dyDescent="0.15">
      <c r="D390" s="2"/>
      <c r="E390" s="2"/>
      <c r="F390" s="2"/>
      <c r="G390" s="2"/>
      <c r="H390" s="2"/>
      <c r="I390" s="2"/>
    </row>
    <row r="391" spans="4:9" ht="13" x14ac:dyDescent="0.15">
      <c r="D391" s="2"/>
      <c r="E391" s="2"/>
      <c r="F391" s="2"/>
      <c r="G391" s="2"/>
      <c r="H391" s="2"/>
      <c r="I391" s="2"/>
    </row>
    <row r="392" spans="4:9" ht="13" x14ac:dyDescent="0.15">
      <c r="D392" s="2"/>
      <c r="E392" s="2"/>
      <c r="F392" s="2"/>
      <c r="G392" s="2"/>
      <c r="H392" s="2"/>
      <c r="I392" s="2"/>
    </row>
    <row r="393" spans="4:9" ht="13" x14ac:dyDescent="0.15">
      <c r="D393" s="2"/>
      <c r="E393" s="2"/>
      <c r="F393" s="2"/>
      <c r="G393" s="2"/>
      <c r="H393" s="2"/>
      <c r="I393" s="2"/>
    </row>
    <row r="394" spans="4:9" ht="13" x14ac:dyDescent="0.15">
      <c r="D394" s="2"/>
      <c r="E394" s="2"/>
      <c r="F394" s="2"/>
      <c r="G394" s="2"/>
      <c r="H394" s="2"/>
      <c r="I394" s="2"/>
    </row>
    <row r="395" spans="4:9" ht="13" x14ac:dyDescent="0.15">
      <c r="D395" s="2"/>
      <c r="E395" s="2"/>
      <c r="F395" s="2"/>
      <c r="G395" s="2"/>
      <c r="H395" s="2"/>
      <c r="I395" s="2"/>
    </row>
    <row r="396" spans="4:9" ht="13" x14ac:dyDescent="0.15">
      <c r="D396" s="2"/>
      <c r="E396" s="2"/>
      <c r="F396" s="2"/>
      <c r="G396" s="2"/>
      <c r="H396" s="2"/>
      <c r="I396" s="2"/>
    </row>
    <row r="397" spans="4:9" ht="13" x14ac:dyDescent="0.15">
      <c r="D397" s="2"/>
      <c r="E397" s="2"/>
      <c r="F397" s="2"/>
      <c r="G397" s="2"/>
      <c r="H397" s="2"/>
      <c r="I397" s="2"/>
    </row>
    <row r="398" spans="4:9" ht="13" x14ac:dyDescent="0.15">
      <c r="D398" s="2"/>
      <c r="E398" s="2"/>
      <c r="F398" s="2"/>
      <c r="G398" s="2"/>
      <c r="H398" s="2"/>
      <c r="I398" s="2"/>
    </row>
    <row r="399" spans="4:9" ht="13" x14ac:dyDescent="0.15">
      <c r="D399" s="2"/>
      <c r="E399" s="2"/>
      <c r="F399" s="2"/>
      <c r="G399" s="2"/>
      <c r="H399" s="2"/>
      <c r="I399" s="2"/>
    </row>
    <row r="400" spans="4:9" ht="13" x14ac:dyDescent="0.15">
      <c r="D400" s="2"/>
      <c r="E400" s="2"/>
      <c r="F400" s="2"/>
      <c r="G400" s="2"/>
      <c r="H400" s="2"/>
      <c r="I400" s="2"/>
    </row>
    <row r="401" spans="4:9" ht="13" x14ac:dyDescent="0.15">
      <c r="D401" s="2"/>
      <c r="E401" s="2"/>
      <c r="F401" s="2"/>
      <c r="G401" s="2"/>
      <c r="H401" s="2"/>
      <c r="I401" s="2"/>
    </row>
    <row r="402" spans="4:9" ht="13" x14ac:dyDescent="0.15">
      <c r="D402" s="2"/>
      <c r="E402" s="2"/>
      <c r="F402" s="2"/>
      <c r="G402" s="2"/>
      <c r="H402" s="2"/>
      <c r="I402" s="2"/>
    </row>
    <row r="403" spans="4:9" ht="13" x14ac:dyDescent="0.15">
      <c r="D403" s="2"/>
      <c r="E403" s="2"/>
      <c r="F403" s="2"/>
      <c r="G403" s="2"/>
      <c r="H403" s="2"/>
      <c r="I403" s="2"/>
    </row>
    <row r="404" spans="4:9" ht="13" x14ac:dyDescent="0.15">
      <c r="D404" s="2"/>
      <c r="E404" s="2"/>
      <c r="F404" s="2"/>
      <c r="G404" s="2"/>
      <c r="H404" s="2"/>
      <c r="I404" s="2"/>
    </row>
    <row r="405" spans="4:9" ht="13" x14ac:dyDescent="0.15">
      <c r="D405" s="2"/>
      <c r="E405" s="2"/>
      <c r="F405" s="2"/>
      <c r="G405" s="2"/>
      <c r="H405" s="2"/>
      <c r="I405" s="2"/>
    </row>
    <row r="406" spans="4:9" ht="13" x14ac:dyDescent="0.15">
      <c r="D406" s="2"/>
      <c r="E406" s="2"/>
      <c r="F406" s="2"/>
      <c r="G406" s="2"/>
      <c r="H406" s="2"/>
      <c r="I406" s="2"/>
    </row>
    <row r="407" spans="4:9" ht="13" x14ac:dyDescent="0.15">
      <c r="D407" s="2"/>
      <c r="E407" s="2"/>
      <c r="F407" s="2"/>
      <c r="G407" s="2"/>
      <c r="H407" s="2"/>
      <c r="I407" s="2"/>
    </row>
    <row r="408" spans="4:9" ht="13" x14ac:dyDescent="0.15">
      <c r="D408" s="2"/>
      <c r="E408" s="2"/>
      <c r="F408" s="2"/>
      <c r="G408" s="2"/>
      <c r="H408" s="2"/>
      <c r="I408" s="2"/>
    </row>
    <row r="409" spans="4:9" ht="13" x14ac:dyDescent="0.15">
      <c r="D409" s="2"/>
      <c r="E409" s="2"/>
      <c r="F409" s="2"/>
      <c r="G409" s="2"/>
      <c r="H409" s="2"/>
      <c r="I409" s="2"/>
    </row>
    <row r="410" spans="4:9" ht="13" x14ac:dyDescent="0.15">
      <c r="D410" s="2"/>
      <c r="E410" s="2"/>
      <c r="F410" s="2"/>
      <c r="G410" s="2"/>
      <c r="H410" s="2"/>
      <c r="I410" s="2"/>
    </row>
    <row r="411" spans="4:9" ht="13" x14ac:dyDescent="0.15">
      <c r="D411" s="2"/>
      <c r="E411" s="2"/>
      <c r="F411" s="2"/>
      <c r="G411" s="2"/>
      <c r="H411" s="2"/>
      <c r="I411" s="2"/>
    </row>
    <row r="412" spans="4:9" ht="13" x14ac:dyDescent="0.15">
      <c r="D412" s="2"/>
      <c r="E412" s="2"/>
      <c r="F412" s="2"/>
      <c r="G412" s="2"/>
      <c r="H412" s="2"/>
      <c r="I412" s="2"/>
    </row>
    <row r="413" spans="4:9" ht="13" x14ac:dyDescent="0.15">
      <c r="D413" s="2"/>
      <c r="E413" s="2"/>
      <c r="F413" s="2"/>
      <c r="G413" s="2"/>
      <c r="H413" s="2"/>
      <c r="I413" s="2"/>
    </row>
    <row r="414" spans="4:9" ht="13" x14ac:dyDescent="0.15">
      <c r="D414" s="2"/>
      <c r="E414" s="2"/>
      <c r="F414" s="2"/>
      <c r="G414" s="2"/>
      <c r="H414" s="2"/>
      <c r="I414" s="2"/>
    </row>
    <row r="415" spans="4:9" ht="13" x14ac:dyDescent="0.15">
      <c r="D415" s="2"/>
      <c r="E415" s="2"/>
      <c r="F415" s="2"/>
      <c r="G415" s="2"/>
      <c r="H415" s="2"/>
      <c r="I415" s="2"/>
    </row>
    <row r="416" spans="4:9" ht="13" x14ac:dyDescent="0.15">
      <c r="D416" s="2"/>
      <c r="E416" s="2"/>
      <c r="F416" s="2"/>
      <c r="G416" s="2"/>
      <c r="H416" s="2"/>
      <c r="I416" s="2"/>
    </row>
    <row r="417" spans="4:9" ht="13" x14ac:dyDescent="0.15">
      <c r="D417" s="2"/>
      <c r="E417" s="2"/>
      <c r="F417" s="2"/>
      <c r="G417" s="2"/>
      <c r="H417" s="2"/>
      <c r="I417" s="2"/>
    </row>
    <row r="418" spans="4:9" ht="13" x14ac:dyDescent="0.15">
      <c r="D418" s="2"/>
      <c r="E418" s="2"/>
      <c r="F418" s="2"/>
      <c r="G418" s="2"/>
      <c r="H418" s="2"/>
      <c r="I418" s="2"/>
    </row>
    <row r="419" spans="4:9" ht="13" x14ac:dyDescent="0.15">
      <c r="D419" s="2"/>
      <c r="E419" s="2"/>
      <c r="F419" s="2"/>
      <c r="G419" s="2"/>
      <c r="H419" s="2"/>
      <c r="I419" s="2"/>
    </row>
    <row r="420" spans="4:9" ht="13" x14ac:dyDescent="0.15">
      <c r="D420" s="2"/>
      <c r="E420" s="2"/>
      <c r="F420" s="2"/>
      <c r="G420" s="2"/>
      <c r="H420" s="2"/>
      <c r="I420" s="2"/>
    </row>
    <row r="421" spans="4:9" ht="13" x14ac:dyDescent="0.15">
      <c r="D421" s="2"/>
      <c r="E421" s="2"/>
      <c r="F421" s="2"/>
      <c r="G421" s="2"/>
      <c r="H421" s="2"/>
      <c r="I421" s="2"/>
    </row>
    <row r="422" spans="4:9" ht="13" x14ac:dyDescent="0.15">
      <c r="D422" s="2"/>
      <c r="E422" s="2"/>
      <c r="F422" s="2"/>
      <c r="G422" s="2"/>
      <c r="H422" s="2"/>
      <c r="I422" s="2"/>
    </row>
    <row r="423" spans="4:9" ht="13" x14ac:dyDescent="0.15">
      <c r="D423" s="2"/>
      <c r="E423" s="2"/>
      <c r="F423" s="2"/>
      <c r="G423" s="2"/>
      <c r="H423" s="2"/>
      <c r="I423" s="2"/>
    </row>
    <row r="424" spans="4:9" ht="13" x14ac:dyDescent="0.15">
      <c r="D424" s="2"/>
      <c r="E424" s="2"/>
      <c r="F424" s="2"/>
      <c r="G424" s="2"/>
      <c r="H424" s="2"/>
      <c r="I424" s="2"/>
    </row>
    <row r="425" spans="4:9" ht="13" x14ac:dyDescent="0.15">
      <c r="D425" s="2"/>
      <c r="E425" s="2"/>
      <c r="F425" s="2"/>
      <c r="G425" s="2"/>
      <c r="H425" s="2"/>
      <c r="I425" s="2"/>
    </row>
    <row r="426" spans="4:9" ht="13" x14ac:dyDescent="0.15">
      <c r="D426" s="2"/>
      <c r="E426" s="2"/>
      <c r="F426" s="2"/>
      <c r="G426" s="2"/>
      <c r="H426" s="2"/>
      <c r="I426" s="2"/>
    </row>
    <row r="427" spans="4:9" ht="13" x14ac:dyDescent="0.15">
      <c r="D427" s="2"/>
      <c r="E427" s="2"/>
      <c r="F427" s="2"/>
      <c r="G427" s="2"/>
      <c r="H427" s="2"/>
      <c r="I427" s="2"/>
    </row>
    <row r="428" spans="4:9" ht="13" x14ac:dyDescent="0.15">
      <c r="D428" s="2"/>
      <c r="E428" s="2"/>
      <c r="F428" s="2"/>
      <c r="G428" s="2"/>
      <c r="H428" s="2"/>
      <c r="I428" s="2"/>
    </row>
    <row r="429" spans="4:9" ht="13" x14ac:dyDescent="0.15">
      <c r="D429" s="2"/>
      <c r="E429" s="2"/>
      <c r="F429" s="2"/>
      <c r="G429" s="2"/>
      <c r="H429" s="2"/>
      <c r="I429" s="2"/>
    </row>
    <row r="430" spans="4:9" ht="13" x14ac:dyDescent="0.15">
      <c r="D430" s="2"/>
      <c r="E430" s="2"/>
      <c r="F430" s="2"/>
      <c r="G430" s="2"/>
      <c r="H430" s="2"/>
      <c r="I430" s="2"/>
    </row>
    <row r="431" spans="4:9" ht="13" x14ac:dyDescent="0.15">
      <c r="D431" s="2"/>
      <c r="E431" s="2"/>
      <c r="F431" s="2"/>
      <c r="G431" s="2"/>
      <c r="H431" s="2"/>
      <c r="I431" s="2"/>
    </row>
    <row r="432" spans="4:9" ht="13" x14ac:dyDescent="0.15">
      <c r="D432" s="2"/>
      <c r="E432" s="2"/>
      <c r="F432" s="2"/>
      <c r="G432" s="2"/>
      <c r="H432" s="2"/>
      <c r="I432" s="2"/>
    </row>
    <row r="433" spans="4:9" ht="13" x14ac:dyDescent="0.15">
      <c r="D433" s="2"/>
      <c r="E433" s="2"/>
      <c r="F433" s="2"/>
      <c r="G433" s="2"/>
      <c r="H433" s="2"/>
      <c r="I433" s="2"/>
    </row>
    <row r="434" spans="4:9" ht="13" x14ac:dyDescent="0.15">
      <c r="D434" s="2"/>
      <c r="E434" s="2"/>
      <c r="F434" s="2"/>
      <c r="G434" s="2"/>
      <c r="H434" s="2"/>
      <c r="I434" s="2"/>
    </row>
    <row r="435" spans="4:9" ht="13" x14ac:dyDescent="0.15">
      <c r="D435" s="2"/>
      <c r="E435" s="2"/>
      <c r="F435" s="2"/>
      <c r="G435" s="2"/>
      <c r="H435" s="2"/>
      <c r="I435" s="2"/>
    </row>
    <row r="436" spans="4:9" ht="13" x14ac:dyDescent="0.15">
      <c r="D436" s="2"/>
      <c r="E436" s="2"/>
      <c r="F436" s="2"/>
      <c r="G436" s="2"/>
      <c r="H436" s="2"/>
      <c r="I436" s="2"/>
    </row>
    <row r="437" spans="4:9" ht="13" x14ac:dyDescent="0.15">
      <c r="D437" s="2"/>
      <c r="E437" s="2"/>
      <c r="F437" s="2"/>
      <c r="G437" s="2"/>
      <c r="H437" s="2"/>
      <c r="I437" s="2"/>
    </row>
    <row r="438" spans="4:9" ht="13" x14ac:dyDescent="0.15">
      <c r="D438" s="2"/>
      <c r="E438" s="2"/>
      <c r="F438" s="2"/>
      <c r="G438" s="2"/>
      <c r="H438" s="2"/>
      <c r="I438" s="2"/>
    </row>
    <row r="439" spans="4:9" ht="13" x14ac:dyDescent="0.15">
      <c r="D439" s="2"/>
      <c r="E439" s="2"/>
      <c r="F439" s="2"/>
      <c r="G439" s="2"/>
      <c r="H439" s="2"/>
      <c r="I439" s="2"/>
    </row>
    <row r="440" spans="4:9" ht="13" x14ac:dyDescent="0.15">
      <c r="D440" s="2"/>
      <c r="E440" s="2"/>
      <c r="F440" s="2"/>
      <c r="G440" s="2"/>
      <c r="H440" s="2"/>
      <c r="I440" s="2"/>
    </row>
    <row r="441" spans="4:9" ht="13" x14ac:dyDescent="0.15">
      <c r="D441" s="2"/>
      <c r="E441" s="2"/>
      <c r="F441" s="2"/>
      <c r="G441" s="2"/>
      <c r="H441" s="2"/>
      <c r="I441" s="2"/>
    </row>
    <row r="442" spans="4:9" ht="13" x14ac:dyDescent="0.15">
      <c r="D442" s="2"/>
      <c r="E442" s="2"/>
      <c r="F442" s="2"/>
      <c r="G442" s="2"/>
      <c r="H442" s="2"/>
      <c r="I442" s="2"/>
    </row>
    <row r="443" spans="4:9" ht="13" x14ac:dyDescent="0.15">
      <c r="D443" s="2"/>
      <c r="E443" s="2"/>
      <c r="F443" s="2"/>
      <c r="G443" s="2"/>
      <c r="H443" s="2"/>
      <c r="I443" s="2"/>
    </row>
    <row r="444" spans="4:9" ht="13" x14ac:dyDescent="0.15">
      <c r="D444" s="2"/>
      <c r="E444" s="2"/>
      <c r="F444" s="2"/>
      <c r="G444" s="2"/>
      <c r="H444" s="2"/>
      <c r="I444" s="2"/>
    </row>
    <row r="445" spans="4:9" ht="13" x14ac:dyDescent="0.15">
      <c r="D445" s="2"/>
      <c r="E445" s="2"/>
      <c r="F445" s="2"/>
      <c r="G445" s="2"/>
      <c r="H445" s="2"/>
      <c r="I445" s="2"/>
    </row>
    <row r="446" spans="4:9" ht="13" x14ac:dyDescent="0.15">
      <c r="D446" s="2"/>
      <c r="E446" s="2"/>
      <c r="F446" s="2"/>
      <c r="G446" s="2"/>
      <c r="H446" s="2"/>
      <c r="I446" s="2"/>
    </row>
    <row r="447" spans="4:9" ht="13" x14ac:dyDescent="0.15">
      <c r="D447" s="2"/>
      <c r="E447" s="2"/>
      <c r="F447" s="2"/>
      <c r="G447" s="2"/>
      <c r="H447" s="2"/>
      <c r="I447" s="2"/>
    </row>
    <row r="448" spans="4:9" ht="13" x14ac:dyDescent="0.15">
      <c r="D448" s="2"/>
      <c r="E448" s="2"/>
      <c r="F448" s="2"/>
      <c r="G448" s="2"/>
      <c r="H448" s="2"/>
      <c r="I448" s="2"/>
    </row>
    <row r="449" spans="4:9" ht="13" x14ac:dyDescent="0.15">
      <c r="D449" s="2"/>
      <c r="E449" s="2"/>
      <c r="F449" s="2"/>
      <c r="G449" s="2"/>
      <c r="H449" s="2"/>
      <c r="I449" s="2"/>
    </row>
    <row r="450" spans="4:9" ht="13" x14ac:dyDescent="0.15">
      <c r="D450" s="2"/>
      <c r="E450" s="2"/>
      <c r="F450" s="2"/>
      <c r="G450" s="2"/>
      <c r="H450" s="2"/>
      <c r="I450" s="2"/>
    </row>
    <row r="451" spans="4:9" ht="13" x14ac:dyDescent="0.15">
      <c r="D451" s="2"/>
      <c r="E451" s="2"/>
      <c r="F451" s="2"/>
      <c r="G451" s="2"/>
      <c r="H451" s="2"/>
      <c r="I451" s="2"/>
    </row>
    <row r="452" spans="4:9" ht="13" x14ac:dyDescent="0.15">
      <c r="D452" s="2"/>
      <c r="E452" s="2"/>
      <c r="F452" s="2"/>
      <c r="G452" s="2"/>
      <c r="H452" s="2"/>
      <c r="I452" s="2"/>
    </row>
    <row r="453" spans="4:9" ht="13" x14ac:dyDescent="0.15">
      <c r="D453" s="2"/>
      <c r="E453" s="2"/>
      <c r="F453" s="2"/>
      <c r="G453" s="2"/>
      <c r="H453" s="2"/>
      <c r="I453" s="2"/>
    </row>
    <row r="454" spans="4:9" ht="13" x14ac:dyDescent="0.15">
      <c r="D454" s="2"/>
      <c r="E454" s="2"/>
      <c r="F454" s="2"/>
      <c r="G454" s="2"/>
      <c r="H454" s="2"/>
      <c r="I454" s="2"/>
    </row>
    <row r="455" spans="4:9" ht="13" x14ac:dyDescent="0.15">
      <c r="D455" s="2"/>
      <c r="E455" s="2"/>
      <c r="F455" s="2"/>
      <c r="G455" s="2"/>
      <c r="H455" s="2"/>
      <c r="I455" s="2"/>
    </row>
    <row r="456" spans="4:9" ht="13" x14ac:dyDescent="0.15">
      <c r="D456" s="2"/>
      <c r="E456" s="2"/>
      <c r="F456" s="2"/>
      <c r="G456" s="2"/>
      <c r="H456" s="2"/>
      <c r="I456" s="2"/>
    </row>
    <row r="457" spans="4:9" ht="13" x14ac:dyDescent="0.15">
      <c r="D457" s="2"/>
      <c r="E457" s="2"/>
      <c r="F457" s="2"/>
      <c r="G457" s="2"/>
      <c r="H457" s="2"/>
      <c r="I457" s="2"/>
    </row>
    <row r="458" spans="4:9" ht="13" x14ac:dyDescent="0.15">
      <c r="D458" s="2"/>
      <c r="E458" s="2"/>
      <c r="F458" s="2"/>
      <c r="G458" s="2"/>
      <c r="H458" s="2"/>
      <c r="I458" s="2"/>
    </row>
    <row r="459" spans="4:9" ht="13" x14ac:dyDescent="0.15">
      <c r="D459" s="2"/>
      <c r="E459" s="2"/>
      <c r="F459" s="2"/>
      <c r="G459" s="2"/>
      <c r="H459" s="2"/>
      <c r="I459" s="2"/>
    </row>
    <row r="460" spans="4:9" ht="13" x14ac:dyDescent="0.15">
      <c r="D460" s="2"/>
      <c r="E460" s="2"/>
      <c r="F460" s="2"/>
      <c r="G460" s="2"/>
      <c r="H460" s="2"/>
      <c r="I460" s="2"/>
    </row>
    <row r="461" spans="4:9" ht="13" x14ac:dyDescent="0.15">
      <c r="D461" s="2"/>
      <c r="E461" s="2"/>
      <c r="F461" s="2"/>
      <c r="G461" s="2"/>
      <c r="H461" s="2"/>
      <c r="I461" s="2"/>
    </row>
    <row r="462" spans="4:9" ht="13" x14ac:dyDescent="0.15">
      <c r="D462" s="2"/>
      <c r="E462" s="2"/>
      <c r="F462" s="2"/>
      <c r="G462" s="2"/>
      <c r="H462" s="2"/>
      <c r="I462" s="2"/>
    </row>
    <row r="463" spans="4:9" ht="13" x14ac:dyDescent="0.15">
      <c r="D463" s="2"/>
      <c r="E463" s="2"/>
      <c r="F463" s="2"/>
      <c r="G463" s="2"/>
      <c r="H463" s="2"/>
      <c r="I463" s="2"/>
    </row>
    <row r="464" spans="4:9" ht="13" x14ac:dyDescent="0.15">
      <c r="D464" s="2"/>
      <c r="E464" s="2"/>
      <c r="F464" s="2"/>
      <c r="G464" s="2"/>
      <c r="H464" s="2"/>
      <c r="I464" s="2"/>
    </row>
    <row r="465" spans="4:9" ht="13" x14ac:dyDescent="0.15">
      <c r="D465" s="2"/>
      <c r="E465" s="2"/>
      <c r="F465" s="2"/>
      <c r="G465" s="2"/>
      <c r="H465" s="2"/>
      <c r="I465" s="2"/>
    </row>
    <row r="466" spans="4:9" ht="13" x14ac:dyDescent="0.15">
      <c r="D466" s="2"/>
      <c r="E466" s="2"/>
      <c r="F466" s="2"/>
      <c r="G466" s="2"/>
      <c r="H466" s="2"/>
      <c r="I466" s="2"/>
    </row>
    <row r="467" spans="4:9" ht="13" x14ac:dyDescent="0.15">
      <c r="D467" s="2"/>
      <c r="E467" s="2"/>
      <c r="F467" s="2"/>
      <c r="G467" s="2"/>
      <c r="H467" s="2"/>
      <c r="I467" s="2"/>
    </row>
    <row r="468" spans="4:9" ht="13" x14ac:dyDescent="0.15">
      <c r="D468" s="2"/>
      <c r="E468" s="2"/>
      <c r="F468" s="2"/>
      <c r="G468" s="2"/>
      <c r="H468" s="2"/>
      <c r="I468" s="2"/>
    </row>
    <row r="469" spans="4:9" ht="13" x14ac:dyDescent="0.15">
      <c r="D469" s="2"/>
      <c r="E469" s="2"/>
      <c r="F469" s="2"/>
      <c r="G469" s="2"/>
      <c r="H469" s="2"/>
      <c r="I469" s="2"/>
    </row>
    <row r="470" spans="4:9" ht="13" x14ac:dyDescent="0.15">
      <c r="D470" s="2"/>
      <c r="E470" s="2"/>
      <c r="F470" s="2"/>
      <c r="G470" s="2"/>
      <c r="H470" s="2"/>
      <c r="I470" s="2"/>
    </row>
    <row r="471" spans="4:9" ht="13" x14ac:dyDescent="0.15">
      <c r="D471" s="2"/>
      <c r="E471" s="2"/>
      <c r="F471" s="2"/>
      <c r="G471" s="2"/>
      <c r="H471" s="2"/>
      <c r="I471" s="2"/>
    </row>
    <row r="472" spans="4:9" ht="13" x14ac:dyDescent="0.15">
      <c r="D472" s="2"/>
      <c r="E472" s="2"/>
      <c r="F472" s="2"/>
      <c r="G472" s="2"/>
      <c r="H472" s="2"/>
      <c r="I472" s="2"/>
    </row>
    <row r="473" spans="4:9" ht="13" x14ac:dyDescent="0.15">
      <c r="D473" s="2"/>
      <c r="E473" s="2"/>
      <c r="F473" s="2"/>
      <c r="G473" s="2"/>
      <c r="H473" s="2"/>
      <c r="I473" s="2"/>
    </row>
    <row r="474" spans="4:9" ht="13" x14ac:dyDescent="0.15">
      <c r="D474" s="2"/>
      <c r="E474" s="2"/>
      <c r="F474" s="2"/>
      <c r="G474" s="2"/>
      <c r="H474" s="2"/>
      <c r="I474" s="2"/>
    </row>
    <row r="475" spans="4:9" ht="13" x14ac:dyDescent="0.15">
      <c r="D475" s="2"/>
      <c r="E475" s="2"/>
      <c r="F475" s="2"/>
      <c r="G475" s="2"/>
      <c r="H475" s="2"/>
      <c r="I475" s="2"/>
    </row>
    <row r="476" spans="4:9" ht="13" x14ac:dyDescent="0.15">
      <c r="D476" s="2"/>
      <c r="E476" s="2"/>
      <c r="F476" s="2"/>
      <c r="G476" s="2"/>
      <c r="H476" s="2"/>
      <c r="I476" s="2"/>
    </row>
    <row r="477" spans="4:9" ht="13" x14ac:dyDescent="0.15">
      <c r="D477" s="2"/>
      <c r="E477" s="2"/>
      <c r="F477" s="2"/>
      <c r="G477" s="2"/>
      <c r="H477" s="2"/>
      <c r="I477" s="2"/>
    </row>
    <row r="478" spans="4:9" ht="13" x14ac:dyDescent="0.15">
      <c r="D478" s="2"/>
      <c r="E478" s="2"/>
      <c r="F478" s="2"/>
      <c r="G478" s="2"/>
      <c r="H478" s="2"/>
      <c r="I478" s="2"/>
    </row>
    <row r="479" spans="4:9" ht="13" x14ac:dyDescent="0.15">
      <c r="D479" s="2"/>
      <c r="E479" s="2"/>
      <c r="F479" s="2"/>
      <c r="G479" s="2"/>
      <c r="H479" s="2"/>
      <c r="I479" s="2"/>
    </row>
    <row r="480" spans="4:9" ht="13" x14ac:dyDescent="0.15">
      <c r="D480" s="2"/>
      <c r="E480" s="2"/>
      <c r="F480" s="2"/>
      <c r="G480" s="2"/>
      <c r="H480" s="2"/>
      <c r="I480" s="2"/>
    </row>
    <row r="481" spans="4:9" ht="13" x14ac:dyDescent="0.15">
      <c r="D481" s="2"/>
      <c r="E481" s="2"/>
      <c r="F481" s="2"/>
      <c r="G481" s="2"/>
      <c r="H481" s="2"/>
      <c r="I481" s="2"/>
    </row>
    <row r="482" spans="4:9" ht="13" x14ac:dyDescent="0.15">
      <c r="D482" s="2"/>
      <c r="E482" s="2"/>
      <c r="F482" s="2"/>
      <c r="G482" s="2"/>
      <c r="H482" s="2"/>
      <c r="I482" s="2"/>
    </row>
    <row r="483" spans="4:9" ht="13" x14ac:dyDescent="0.15">
      <c r="D483" s="2"/>
      <c r="E483" s="2"/>
      <c r="F483" s="2"/>
      <c r="G483" s="2"/>
      <c r="H483" s="2"/>
      <c r="I483" s="2"/>
    </row>
    <row r="484" spans="4:9" ht="13" x14ac:dyDescent="0.15">
      <c r="D484" s="2"/>
      <c r="E484" s="2"/>
      <c r="F484" s="2"/>
      <c r="G484" s="2"/>
      <c r="H484" s="2"/>
      <c r="I484" s="2"/>
    </row>
    <row r="485" spans="4:9" ht="13" x14ac:dyDescent="0.15">
      <c r="D485" s="2"/>
      <c r="E485" s="2"/>
      <c r="F485" s="2"/>
      <c r="G485" s="2"/>
      <c r="H485" s="2"/>
      <c r="I485" s="2"/>
    </row>
    <row r="486" spans="4:9" ht="13" x14ac:dyDescent="0.15">
      <c r="D486" s="2"/>
      <c r="E486" s="2"/>
      <c r="F486" s="2"/>
      <c r="G486" s="2"/>
      <c r="H486" s="2"/>
      <c r="I486" s="2"/>
    </row>
    <row r="487" spans="4:9" ht="13" x14ac:dyDescent="0.15">
      <c r="D487" s="2"/>
      <c r="E487" s="2"/>
      <c r="F487" s="2"/>
      <c r="G487" s="2"/>
      <c r="H487" s="2"/>
      <c r="I487" s="2"/>
    </row>
    <row r="488" spans="4:9" ht="13" x14ac:dyDescent="0.15">
      <c r="D488" s="2"/>
      <c r="E488" s="2"/>
      <c r="F488" s="2"/>
      <c r="G488" s="2"/>
      <c r="H488" s="2"/>
      <c r="I488" s="2"/>
    </row>
    <row r="489" spans="4:9" ht="13" x14ac:dyDescent="0.15">
      <c r="D489" s="2"/>
      <c r="E489" s="2"/>
      <c r="F489" s="2"/>
      <c r="G489" s="2"/>
      <c r="H489" s="2"/>
      <c r="I489" s="2"/>
    </row>
    <row r="490" spans="4:9" ht="13" x14ac:dyDescent="0.15">
      <c r="D490" s="2"/>
      <c r="E490" s="2"/>
      <c r="F490" s="2"/>
      <c r="G490" s="2"/>
      <c r="H490" s="2"/>
      <c r="I490" s="2"/>
    </row>
    <row r="491" spans="4:9" ht="13" x14ac:dyDescent="0.15">
      <c r="D491" s="2"/>
      <c r="E491" s="2"/>
      <c r="F491" s="2"/>
      <c r="G491" s="2"/>
      <c r="H491" s="2"/>
      <c r="I491" s="2"/>
    </row>
    <row r="492" spans="4:9" ht="13" x14ac:dyDescent="0.15">
      <c r="D492" s="2"/>
      <c r="E492" s="2"/>
      <c r="F492" s="2"/>
      <c r="G492" s="2"/>
      <c r="H492" s="2"/>
      <c r="I492" s="2"/>
    </row>
    <row r="493" spans="4:9" ht="13" x14ac:dyDescent="0.15">
      <c r="D493" s="2"/>
      <c r="E493" s="2"/>
      <c r="F493" s="2"/>
      <c r="G493" s="2"/>
      <c r="H493" s="2"/>
      <c r="I493" s="2"/>
    </row>
    <row r="494" spans="4:9" ht="13" x14ac:dyDescent="0.15">
      <c r="D494" s="2"/>
      <c r="E494" s="2"/>
      <c r="F494" s="2"/>
      <c r="G494" s="2"/>
      <c r="H494" s="2"/>
      <c r="I494" s="2"/>
    </row>
    <row r="495" spans="4:9" ht="13" x14ac:dyDescent="0.15">
      <c r="D495" s="2"/>
      <c r="E495" s="2"/>
      <c r="F495" s="2"/>
      <c r="G495" s="2"/>
      <c r="H495" s="2"/>
      <c r="I495" s="2"/>
    </row>
    <row r="496" spans="4:9" ht="13" x14ac:dyDescent="0.15">
      <c r="D496" s="2"/>
      <c r="E496" s="2"/>
      <c r="F496" s="2"/>
      <c r="G496" s="2"/>
      <c r="H496" s="2"/>
      <c r="I496" s="2"/>
    </row>
    <row r="497" spans="4:9" ht="13" x14ac:dyDescent="0.15">
      <c r="D497" s="2"/>
      <c r="E497" s="2"/>
      <c r="F497" s="2"/>
      <c r="G497" s="2"/>
      <c r="H497" s="2"/>
      <c r="I497" s="2"/>
    </row>
    <row r="498" spans="4:9" ht="13" x14ac:dyDescent="0.15">
      <c r="D498" s="2"/>
      <c r="E498" s="2"/>
      <c r="F498" s="2"/>
      <c r="G498" s="2"/>
      <c r="H498" s="2"/>
      <c r="I498" s="2"/>
    </row>
    <row r="499" spans="4:9" ht="13" x14ac:dyDescent="0.15">
      <c r="D499" s="2"/>
      <c r="E499" s="2"/>
      <c r="F499" s="2"/>
      <c r="G499" s="2"/>
      <c r="H499" s="2"/>
      <c r="I499" s="2"/>
    </row>
    <row r="500" spans="4:9" ht="13" x14ac:dyDescent="0.15">
      <c r="D500" s="2"/>
      <c r="E500" s="2"/>
      <c r="F500" s="2"/>
      <c r="G500" s="2"/>
      <c r="H500" s="2"/>
      <c r="I500" s="2"/>
    </row>
    <row r="501" spans="4:9" ht="13" x14ac:dyDescent="0.15">
      <c r="D501" s="2"/>
      <c r="E501" s="2"/>
      <c r="F501" s="2"/>
      <c r="G501" s="2"/>
      <c r="H501" s="2"/>
      <c r="I501" s="2"/>
    </row>
    <row r="502" spans="4:9" ht="13" x14ac:dyDescent="0.15">
      <c r="D502" s="2"/>
      <c r="E502" s="2"/>
      <c r="F502" s="2"/>
      <c r="G502" s="2"/>
      <c r="H502" s="2"/>
      <c r="I502" s="2"/>
    </row>
    <row r="503" spans="4:9" ht="13" x14ac:dyDescent="0.15">
      <c r="D503" s="2"/>
      <c r="E503" s="2"/>
      <c r="F503" s="2"/>
      <c r="G503" s="2"/>
      <c r="H503" s="2"/>
      <c r="I503" s="2"/>
    </row>
    <row r="504" spans="4:9" ht="13" x14ac:dyDescent="0.15">
      <c r="D504" s="2"/>
      <c r="E504" s="2"/>
      <c r="F504" s="2"/>
      <c r="G504" s="2"/>
      <c r="H504" s="2"/>
      <c r="I504" s="2"/>
    </row>
    <row r="505" spans="4:9" ht="13" x14ac:dyDescent="0.15">
      <c r="D505" s="2"/>
      <c r="E505" s="2"/>
      <c r="F505" s="2"/>
      <c r="G505" s="2"/>
      <c r="H505" s="2"/>
      <c r="I505" s="2"/>
    </row>
    <row r="506" spans="4:9" ht="13" x14ac:dyDescent="0.15">
      <c r="D506" s="2"/>
      <c r="E506" s="2"/>
      <c r="F506" s="2"/>
      <c r="G506" s="2"/>
      <c r="H506" s="2"/>
      <c r="I506" s="2"/>
    </row>
    <row r="507" spans="4:9" ht="13" x14ac:dyDescent="0.15">
      <c r="D507" s="2"/>
      <c r="E507" s="2"/>
      <c r="F507" s="2"/>
      <c r="G507" s="2"/>
      <c r="H507" s="2"/>
      <c r="I507" s="2"/>
    </row>
    <row r="508" spans="4:9" ht="13" x14ac:dyDescent="0.15">
      <c r="D508" s="2"/>
      <c r="E508" s="2"/>
      <c r="F508" s="2"/>
      <c r="G508" s="2"/>
      <c r="H508" s="2"/>
      <c r="I508" s="2"/>
    </row>
    <row r="509" spans="4:9" ht="13" x14ac:dyDescent="0.15">
      <c r="D509" s="2"/>
      <c r="E509" s="2"/>
      <c r="F509" s="2"/>
      <c r="G509" s="2"/>
      <c r="H509" s="2"/>
      <c r="I509" s="2"/>
    </row>
    <row r="510" spans="4:9" ht="13" x14ac:dyDescent="0.15">
      <c r="D510" s="2"/>
      <c r="E510" s="2"/>
      <c r="F510" s="2"/>
      <c r="G510" s="2"/>
      <c r="H510" s="2"/>
      <c r="I510" s="2"/>
    </row>
    <row r="511" spans="4:9" ht="13" x14ac:dyDescent="0.15">
      <c r="D511" s="2"/>
      <c r="E511" s="2"/>
      <c r="F511" s="2"/>
      <c r="G511" s="2"/>
      <c r="H511" s="2"/>
      <c r="I511" s="2"/>
    </row>
    <row r="512" spans="4:9" ht="13" x14ac:dyDescent="0.15">
      <c r="D512" s="2"/>
      <c r="E512" s="2"/>
      <c r="F512" s="2"/>
      <c r="G512" s="2"/>
      <c r="H512" s="2"/>
      <c r="I512" s="2"/>
    </row>
    <row r="513" spans="4:9" ht="13" x14ac:dyDescent="0.15">
      <c r="D513" s="2"/>
      <c r="E513" s="2"/>
      <c r="F513" s="2"/>
      <c r="G513" s="2"/>
      <c r="H513" s="2"/>
      <c r="I513" s="2"/>
    </row>
    <row r="514" spans="4:9" ht="13" x14ac:dyDescent="0.15">
      <c r="D514" s="2"/>
      <c r="E514" s="2"/>
      <c r="F514" s="2"/>
      <c r="G514" s="2"/>
      <c r="H514" s="2"/>
      <c r="I514" s="2"/>
    </row>
    <row r="515" spans="4:9" ht="13" x14ac:dyDescent="0.15">
      <c r="D515" s="2"/>
      <c r="E515" s="2"/>
      <c r="F515" s="2"/>
      <c r="G515" s="2"/>
      <c r="H515" s="2"/>
      <c r="I515" s="2"/>
    </row>
    <row r="516" spans="4:9" ht="13" x14ac:dyDescent="0.15">
      <c r="D516" s="2"/>
      <c r="E516" s="2"/>
      <c r="F516" s="2"/>
      <c r="G516" s="2"/>
      <c r="H516" s="2"/>
      <c r="I516" s="2"/>
    </row>
    <row r="517" spans="4:9" ht="13" x14ac:dyDescent="0.15">
      <c r="D517" s="2"/>
      <c r="E517" s="2"/>
      <c r="F517" s="2"/>
      <c r="G517" s="2"/>
      <c r="H517" s="2"/>
      <c r="I517" s="2"/>
    </row>
    <row r="518" spans="4:9" ht="13" x14ac:dyDescent="0.15">
      <c r="D518" s="2"/>
      <c r="E518" s="2"/>
      <c r="F518" s="2"/>
      <c r="G518" s="2"/>
      <c r="H518" s="2"/>
      <c r="I518" s="2"/>
    </row>
    <row r="519" spans="4:9" ht="13" x14ac:dyDescent="0.15">
      <c r="D519" s="2"/>
      <c r="E519" s="2"/>
      <c r="F519" s="2"/>
      <c r="G519" s="2"/>
      <c r="H519" s="2"/>
      <c r="I519" s="2"/>
    </row>
    <row r="520" spans="4:9" ht="13" x14ac:dyDescent="0.15">
      <c r="D520" s="2"/>
      <c r="E520" s="2"/>
      <c r="F520" s="2"/>
      <c r="G520" s="2"/>
      <c r="H520" s="2"/>
      <c r="I520" s="2"/>
    </row>
    <row r="521" spans="4:9" ht="13" x14ac:dyDescent="0.15">
      <c r="D521" s="2"/>
      <c r="E521" s="2"/>
      <c r="F521" s="2"/>
      <c r="G521" s="2"/>
      <c r="H521" s="2"/>
      <c r="I521" s="2"/>
    </row>
    <row r="522" spans="4:9" ht="13" x14ac:dyDescent="0.15">
      <c r="D522" s="2"/>
      <c r="E522" s="2"/>
      <c r="F522" s="2"/>
      <c r="G522" s="2"/>
      <c r="H522" s="2"/>
      <c r="I522" s="2"/>
    </row>
    <row r="523" spans="4:9" ht="13" x14ac:dyDescent="0.15">
      <c r="D523" s="2"/>
      <c r="E523" s="2"/>
      <c r="F523" s="2"/>
      <c r="G523" s="2"/>
      <c r="H523" s="2"/>
      <c r="I523" s="2"/>
    </row>
    <row r="524" spans="4:9" ht="13" x14ac:dyDescent="0.15">
      <c r="D524" s="2"/>
      <c r="E524" s="2"/>
      <c r="F524" s="2"/>
      <c r="G524" s="2"/>
      <c r="H524" s="2"/>
      <c r="I524" s="2"/>
    </row>
    <row r="525" spans="4:9" ht="13" x14ac:dyDescent="0.15">
      <c r="D525" s="2"/>
      <c r="E525" s="2"/>
      <c r="F525" s="2"/>
      <c r="G525" s="2"/>
      <c r="H525" s="2"/>
      <c r="I525" s="2"/>
    </row>
    <row r="526" spans="4:9" ht="13" x14ac:dyDescent="0.15">
      <c r="D526" s="2"/>
      <c r="E526" s="2"/>
      <c r="F526" s="2"/>
      <c r="G526" s="2"/>
      <c r="H526" s="2"/>
      <c r="I526" s="2"/>
    </row>
    <row r="527" spans="4:9" ht="13" x14ac:dyDescent="0.15">
      <c r="D527" s="2"/>
      <c r="E527" s="2"/>
      <c r="F527" s="2"/>
      <c r="G527" s="2"/>
      <c r="H527" s="2"/>
      <c r="I527" s="2"/>
    </row>
    <row r="528" spans="4:9" ht="13" x14ac:dyDescent="0.15">
      <c r="D528" s="2"/>
      <c r="E528" s="2"/>
      <c r="F528" s="2"/>
      <c r="G528" s="2"/>
      <c r="H528" s="2"/>
      <c r="I528" s="2"/>
    </row>
    <row r="529" spans="4:9" ht="13" x14ac:dyDescent="0.15">
      <c r="D529" s="2"/>
      <c r="E529" s="2"/>
      <c r="F529" s="2"/>
      <c r="G529" s="2"/>
      <c r="H529" s="2"/>
      <c r="I529" s="2"/>
    </row>
    <row r="530" spans="4:9" ht="13" x14ac:dyDescent="0.15">
      <c r="D530" s="2"/>
      <c r="E530" s="2"/>
      <c r="F530" s="2"/>
      <c r="G530" s="2"/>
      <c r="H530" s="2"/>
      <c r="I530" s="2"/>
    </row>
    <row r="531" spans="4:9" ht="13" x14ac:dyDescent="0.15">
      <c r="D531" s="2"/>
      <c r="E531" s="2"/>
      <c r="F531" s="2"/>
      <c r="G531" s="2"/>
      <c r="H531" s="2"/>
      <c r="I531" s="2"/>
    </row>
    <row r="532" spans="4:9" ht="13" x14ac:dyDescent="0.15">
      <c r="D532" s="2"/>
      <c r="E532" s="2"/>
      <c r="F532" s="2"/>
      <c r="G532" s="2"/>
      <c r="H532" s="2"/>
      <c r="I532" s="2"/>
    </row>
    <row r="533" spans="4:9" ht="13" x14ac:dyDescent="0.15">
      <c r="D533" s="2"/>
      <c r="E533" s="2"/>
      <c r="F533" s="2"/>
      <c r="G533" s="2"/>
      <c r="H533" s="2"/>
      <c r="I533" s="2"/>
    </row>
    <row r="534" spans="4:9" ht="13" x14ac:dyDescent="0.15">
      <c r="D534" s="2"/>
      <c r="E534" s="2"/>
      <c r="F534" s="2"/>
      <c r="G534" s="2"/>
      <c r="H534" s="2"/>
      <c r="I534" s="2"/>
    </row>
    <row r="535" spans="4:9" ht="13" x14ac:dyDescent="0.15">
      <c r="D535" s="2"/>
      <c r="E535" s="2"/>
      <c r="F535" s="2"/>
      <c r="G535" s="2"/>
      <c r="H535" s="2"/>
      <c r="I535" s="2"/>
    </row>
    <row r="536" spans="4:9" ht="13" x14ac:dyDescent="0.15">
      <c r="D536" s="2"/>
      <c r="E536" s="2"/>
      <c r="F536" s="2"/>
      <c r="G536" s="2"/>
      <c r="H536" s="2"/>
      <c r="I536" s="2"/>
    </row>
    <row r="537" spans="4:9" ht="13" x14ac:dyDescent="0.15">
      <c r="D537" s="2"/>
      <c r="E537" s="2"/>
      <c r="F537" s="2"/>
      <c r="G537" s="2"/>
      <c r="H537" s="2"/>
      <c r="I537" s="2"/>
    </row>
    <row r="538" spans="4:9" ht="13" x14ac:dyDescent="0.15">
      <c r="D538" s="2"/>
      <c r="E538" s="2"/>
      <c r="F538" s="2"/>
      <c r="G538" s="2"/>
      <c r="H538" s="2"/>
      <c r="I538" s="2"/>
    </row>
    <row r="539" spans="4:9" ht="13" x14ac:dyDescent="0.15">
      <c r="D539" s="2"/>
      <c r="E539" s="2"/>
      <c r="F539" s="2"/>
      <c r="G539" s="2"/>
      <c r="H539" s="2"/>
      <c r="I539" s="2"/>
    </row>
    <row r="540" spans="4:9" ht="13" x14ac:dyDescent="0.15">
      <c r="D540" s="2"/>
      <c r="E540" s="2"/>
      <c r="F540" s="2"/>
      <c r="G540" s="2"/>
      <c r="H540" s="2"/>
      <c r="I540" s="2"/>
    </row>
    <row r="541" spans="4:9" ht="13" x14ac:dyDescent="0.15">
      <c r="D541" s="2"/>
      <c r="E541" s="2"/>
      <c r="F541" s="2"/>
      <c r="G541" s="2"/>
      <c r="H541" s="2"/>
      <c r="I541" s="2"/>
    </row>
    <row r="542" spans="4:9" ht="13" x14ac:dyDescent="0.15">
      <c r="D542" s="2"/>
      <c r="E542" s="2"/>
      <c r="F542" s="2"/>
      <c r="G542" s="2"/>
      <c r="H542" s="2"/>
      <c r="I542" s="2"/>
    </row>
    <row r="543" spans="4:9" ht="13" x14ac:dyDescent="0.15">
      <c r="D543" s="2"/>
      <c r="E543" s="2"/>
      <c r="F543" s="2"/>
      <c r="G543" s="2"/>
      <c r="H543" s="2"/>
      <c r="I543" s="2"/>
    </row>
    <row r="544" spans="4:9" ht="13" x14ac:dyDescent="0.15">
      <c r="D544" s="2"/>
      <c r="E544" s="2"/>
      <c r="F544" s="2"/>
      <c r="G544" s="2"/>
      <c r="H544" s="2"/>
      <c r="I544" s="2"/>
    </row>
    <row r="545" spans="4:9" ht="13" x14ac:dyDescent="0.15">
      <c r="D545" s="2"/>
      <c r="E545" s="2"/>
      <c r="F545" s="2"/>
      <c r="G545" s="2"/>
      <c r="H545" s="2"/>
      <c r="I545" s="2"/>
    </row>
    <row r="546" spans="4:9" ht="13" x14ac:dyDescent="0.15">
      <c r="D546" s="2"/>
      <c r="E546" s="2"/>
      <c r="F546" s="2"/>
      <c r="G546" s="2"/>
      <c r="H546" s="2"/>
      <c r="I546" s="2"/>
    </row>
    <row r="547" spans="4:9" ht="13" x14ac:dyDescent="0.15">
      <c r="D547" s="2"/>
      <c r="E547" s="2"/>
      <c r="F547" s="2"/>
      <c r="G547" s="2"/>
      <c r="H547" s="2"/>
      <c r="I547" s="2"/>
    </row>
    <row r="548" spans="4:9" ht="13" x14ac:dyDescent="0.15">
      <c r="D548" s="2"/>
      <c r="E548" s="2"/>
      <c r="F548" s="2"/>
      <c r="G548" s="2"/>
      <c r="H548" s="2"/>
      <c r="I548" s="2"/>
    </row>
    <row r="549" spans="4:9" ht="13" x14ac:dyDescent="0.15">
      <c r="D549" s="2"/>
      <c r="E549" s="2"/>
      <c r="F549" s="2"/>
      <c r="G549" s="2"/>
      <c r="H549" s="2"/>
      <c r="I549" s="2"/>
    </row>
    <row r="550" spans="4:9" ht="13" x14ac:dyDescent="0.15">
      <c r="D550" s="2"/>
      <c r="E550" s="2"/>
      <c r="F550" s="2"/>
      <c r="G550" s="2"/>
      <c r="H550" s="2"/>
      <c r="I550" s="2"/>
    </row>
    <row r="551" spans="4:9" ht="13" x14ac:dyDescent="0.15">
      <c r="D551" s="2"/>
      <c r="E551" s="2"/>
      <c r="F551" s="2"/>
      <c r="G551" s="2"/>
      <c r="H551" s="2"/>
      <c r="I551" s="2"/>
    </row>
    <row r="552" spans="4:9" ht="13" x14ac:dyDescent="0.15">
      <c r="D552" s="2"/>
      <c r="E552" s="2"/>
      <c r="F552" s="2"/>
      <c r="G552" s="2"/>
      <c r="H552" s="2"/>
      <c r="I552" s="2"/>
    </row>
    <row r="553" spans="4:9" ht="13" x14ac:dyDescent="0.15">
      <c r="D553" s="2"/>
      <c r="E553" s="2"/>
      <c r="F553" s="2"/>
      <c r="G553" s="2"/>
      <c r="H553" s="2"/>
      <c r="I553" s="2"/>
    </row>
    <row r="554" spans="4:9" ht="13" x14ac:dyDescent="0.15">
      <c r="D554" s="2"/>
      <c r="E554" s="2"/>
      <c r="F554" s="2"/>
      <c r="G554" s="2"/>
      <c r="H554" s="2"/>
      <c r="I554" s="2"/>
    </row>
    <row r="555" spans="4:9" ht="13" x14ac:dyDescent="0.15">
      <c r="D555" s="2"/>
      <c r="E555" s="2"/>
      <c r="F555" s="2"/>
      <c r="G555" s="2"/>
      <c r="H555" s="2"/>
      <c r="I555" s="2"/>
    </row>
    <row r="556" spans="4:9" ht="13" x14ac:dyDescent="0.15">
      <c r="D556" s="2"/>
      <c r="E556" s="2"/>
      <c r="F556" s="2"/>
      <c r="G556" s="2"/>
      <c r="H556" s="2"/>
      <c r="I556" s="2"/>
    </row>
    <row r="557" spans="4:9" ht="13" x14ac:dyDescent="0.15">
      <c r="D557" s="2"/>
      <c r="E557" s="2"/>
      <c r="F557" s="2"/>
      <c r="G557" s="2"/>
      <c r="H557" s="2"/>
      <c r="I557" s="2"/>
    </row>
    <row r="558" spans="4:9" ht="13" x14ac:dyDescent="0.15">
      <c r="D558" s="2"/>
      <c r="E558" s="2"/>
      <c r="F558" s="2"/>
      <c r="G558" s="2"/>
      <c r="H558" s="2"/>
      <c r="I558" s="2"/>
    </row>
    <row r="559" spans="4:9" ht="13" x14ac:dyDescent="0.15">
      <c r="D559" s="2"/>
      <c r="E559" s="2"/>
      <c r="F559" s="2"/>
      <c r="G559" s="2"/>
      <c r="H559" s="2"/>
      <c r="I559" s="2"/>
    </row>
    <row r="560" spans="4:9" ht="13" x14ac:dyDescent="0.15">
      <c r="D560" s="2"/>
      <c r="E560" s="2"/>
      <c r="F560" s="2"/>
      <c r="G560" s="2"/>
      <c r="H560" s="2"/>
      <c r="I560" s="2"/>
    </row>
    <row r="561" spans="4:9" ht="13" x14ac:dyDescent="0.15">
      <c r="D561" s="2"/>
      <c r="E561" s="2"/>
      <c r="F561" s="2"/>
      <c r="G561" s="2"/>
      <c r="H561" s="2"/>
      <c r="I561" s="2"/>
    </row>
    <row r="562" spans="4:9" ht="13" x14ac:dyDescent="0.15">
      <c r="D562" s="2"/>
      <c r="E562" s="2"/>
      <c r="F562" s="2"/>
      <c r="G562" s="2"/>
      <c r="H562" s="2"/>
      <c r="I562" s="2"/>
    </row>
    <row r="563" spans="4:9" ht="13" x14ac:dyDescent="0.15">
      <c r="D563" s="2"/>
      <c r="E563" s="2"/>
      <c r="F563" s="2"/>
      <c r="G563" s="2"/>
      <c r="H563" s="2"/>
      <c r="I563" s="2"/>
    </row>
    <row r="564" spans="4:9" ht="13" x14ac:dyDescent="0.15">
      <c r="D564" s="2"/>
      <c r="E564" s="2"/>
      <c r="F564" s="2"/>
      <c r="G564" s="2"/>
      <c r="H564" s="2"/>
      <c r="I564" s="2"/>
    </row>
    <row r="565" spans="4:9" ht="13" x14ac:dyDescent="0.15">
      <c r="D565" s="2"/>
      <c r="E565" s="2"/>
      <c r="F565" s="2"/>
      <c r="G565" s="2"/>
      <c r="H565" s="2"/>
      <c r="I565" s="2"/>
    </row>
    <row r="566" spans="4:9" ht="13" x14ac:dyDescent="0.15">
      <c r="D566" s="2"/>
      <c r="E566" s="2"/>
      <c r="F566" s="2"/>
      <c r="G566" s="2"/>
      <c r="H566" s="2"/>
      <c r="I566" s="2"/>
    </row>
    <row r="567" spans="4:9" ht="13" x14ac:dyDescent="0.15">
      <c r="D567" s="2"/>
      <c r="E567" s="2"/>
      <c r="F567" s="2"/>
      <c r="G567" s="2"/>
      <c r="H567" s="2"/>
      <c r="I567" s="2"/>
    </row>
    <row r="568" spans="4:9" ht="13" x14ac:dyDescent="0.15">
      <c r="D568" s="2"/>
      <c r="E568" s="2"/>
      <c r="F568" s="2"/>
      <c r="G568" s="2"/>
      <c r="H568" s="2"/>
      <c r="I568" s="2"/>
    </row>
    <row r="569" spans="4:9" ht="13" x14ac:dyDescent="0.15">
      <c r="D569" s="2"/>
      <c r="E569" s="2"/>
      <c r="F569" s="2"/>
      <c r="G569" s="2"/>
      <c r="H569" s="2"/>
      <c r="I569" s="2"/>
    </row>
    <row r="570" spans="4:9" ht="13" x14ac:dyDescent="0.15">
      <c r="D570" s="2"/>
      <c r="E570" s="2"/>
      <c r="F570" s="2"/>
      <c r="G570" s="2"/>
      <c r="H570" s="2"/>
      <c r="I570" s="2"/>
    </row>
    <row r="571" spans="4:9" ht="13" x14ac:dyDescent="0.15">
      <c r="D571" s="2"/>
      <c r="E571" s="2"/>
      <c r="F571" s="2"/>
      <c r="G571" s="2"/>
      <c r="H571" s="2"/>
      <c r="I571" s="2"/>
    </row>
    <row r="572" spans="4:9" ht="13" x14ac:dyDescent="0.15">
      <c r="D572" s="2"/>
      <c r="E572" s="2"/>
      <c r="F572" s="2"/>
      <c r="G572" s="2"/>
      <c r="H572" s="2"/>
      <c r="I572" s="2"/>
    </row>
    <row r="573" spans="4:9" ht="13" x14ac:dyDescent="0.15">
      <c r="D573" s="2"/>
      <c r="E573" s="2"/>
      <c r="F573" s="2"/>
      <c r="G573" s="2"/>
      <c r="H573" s="2"/>
      <c r="I573" s="2"/>
    </row>
    <row r="574" spans="4:9" ht="13" x14ac:dyDescent="0.15">
      <c r="D574" s="2"/>
      <c r="E574" s="2"/>
      <c r="F574" s="2"/>
      <c r="G574" s="2"/>
      <c r="H574" s="2"/>
      <c r="I574" s="2"/>
    </row>
    <row r="575" spans="4:9" ht="13" x14ac:dyDescent="0.15">
      <c r="D575" s="2"/>
      <c r="E575" s="2"/>
      <c r="F575" s="2"/>
      <c r="G575" s="2"/>
      <c r="H575" s="2"/>
      <c r="I575" s="2"/>
    </row>
    <row r="576" spans="4:9" ht="13" x14ac:dyDescent="0.15">
      <c r="D576" s="2"/>
      <c r="E576" s="2"/>
      <c r="F576" s="2"/>
      <c r="G576" s="2"/>
      <c r="H576" s="2"/>
      <c r="I576" s="2"/>
    </row>
    <row r="577" spans="4:9" ht="13" x14ac:dyDescent="0.15">
      <c r="D577" s="2"/>
      <c r="E577" s="2"/>
      <c r="F577" s="2"/>
      <c r="G577" s="2"/>
      <c r="H577" s="2"/>
      <c r="I577" s="2"/>
    </row>
    <row r="578" spans="4:9" ht="13" x14ac:dyDescent="0.15">
      <c r="D578" s="2"/>
      <c r="E578" s="2"/>
      <c r="F578" s="2"/>
      <c r="G578" s="2"/>
      <c r="H578" s="2"/>
      <c r="I578" s="2"/>
    </row>
    <row r="579" spans="4:9" ht="13" x14ac:dyDescent="0.15">
      <c r="D579" s="2"/>
      <c r="E579" s="2"/>
      <c r="F579" s="2"/>
      <c r="G579" s="2"/>
      <c r="H579" s="2"/>
      <c r="I579" s="2"/>
    </row>
    <row r="580" spans="4:9" ht="13" x14ac:dyDescent="0.15">
      <c r="D580" s="2"/>
      <c r="E580" s="2"/>
      <c r="F580" s="2"/>
      <c r="G580" s="2"/>
      <c r="H580" s="2"/>
      <c r="I580" s="2"/>
    </row>
    <row r="581" spans="4:9" ht="13" x14ac:dyDescent="0.15">
      <c r="D581" s="2"/>
      <c r="E581" s="2"/>
      <c r="F581" s="2"/>
      <c r="G581" s="2"/>
      <c r="H581" s="2"/>
      <c r="I581" s="2"/>
    </row>
    <row r="582" spans="4:9" ht="13" x14ac:dyDescent="0.15">
      <c r="D582" s="2"/>
      <c r="E582" s="2"/>
      <c r="F582" s="2"/>
      <c r="G582" s="2"/>
      <c r="H582" s="2"/>
      <c r="I582" s="2"/>
    </row>
    <row r="583" spans="4:9" ht="13" x14ac:dyDescent="0.15">
      <c r="D583" s="2"/>
      <c r="E583" s="2"/>
      <c r="F583" s="2"/>
      <c r="G583" s="2"/>
      <c r="H583" s="2"/>
      <c r="I583" s="2"/>
    </row>
    <row r="584" spans="4:9" ht="13" x14ac:dyDescent="0.15">
      <c r="D584" s="2"/>
      <c r="E584" s="2"/>
      <c r="F584" s="2"/>
      <c r="G584" s="2"/>
      <c r="H584" s="2"/>
      <c r="I584" s="2"/>
    </row>
    <row r="585" spans="4:9" ht="13" x14ac:dyDescent="0.15">
      <c r="D585" s="2"/>
      <c r="E585" s="2"/>
      <c r="F585" s="2"/>
      <c r="G585" s="2"/>
      <c r="H585" s="2"/>
      <c r="I585" s="2"/>
    </row>
    <row r="586" spans="4:9" ht="13" x14ac:dyDescent="0.15">
      <c r="D586" s="2"/>
      <c r="E586" s="2"/>
      <c r="F586" s="2"/>
      <c r="G586" s="2"/>
      <c r="H586" s="2"/>
      <c r="I586" s="2"/>
    </row>
    <row r="587" spans="4:9" ht="13" x14ac:dyDescent="0.15">
      <c r="D587" s="2"/>
      <c r="E587" s="2"/>
      <c r="F587" s="2"/>
      <c r="G587" s="2"/>
      <c r="H587" s="2"/>
      <c r="I587" s="2"/>
    </row>
    <row r="588" spans="4:9" ht="13" x14ac:dyDescent="0.15">
      <c r="D588" s="2"/>
      <c r="E588" s="2"/>
      <c r="F588" s="2"/>
      <c r="G588" s="2"/>
      <c r="H588" s="2"/>
      <c r="I588" s="2"/>
    </row>
    <row r="589" spans="4:9" ht="13" x14ac:dyDescent="0.15">
      <c r="D589" s="2"/>
      <c r="E589" s="2"/>
      <c r="F589" s="2"/>
      <c r="G589" s="2"/>
      <c r="H589" s="2"/>
      <c r="I589" s="2"/>
    </row>
    <row r="590" spans="4:9" ht="13" x14ac:dyDescent="0.15">
      <c r="D590" s="2"/>
      <c r="E590" s="2"/>
      <c r="F590" s="2"/>
      <c r="G590" s="2"/>
      <c r="H590" s="2"/>
      <c r="I590" s="2"/>
    </row>
    <row r="591" spans="4:9" ht="13" x14ac:dyDescent="0.15">
      <c r="D591" s="2"/>
      <c r="E591" s="2"/>
      <c r="F591" s="2"/>
      <c r="G591" s="2"/>
      <c r="H591" s="2"/>
      <c r="I591" s="2"/>
    </row>
    <row r="592" spans="4:9" ht="13" x14ac:dyDescent="0.15">
      <c r="D592" s="2"/>
      <c r="E592" s="2"/>
      <c r="F592" s="2"/>
      <c r="G592" s="2"/>
      <c r="H592" s="2"/>
      <c r="I592" s="2"/>
    </row>
    <row r="593" spans="4:9" ht="13" x14ac:dyDescent="0.15">
      <c r="D593" s="2"/>
      <c r="E593" s="2"/>
      <c r="F593" s="2"/>
      <c r="G593" s="2"/>
      <c r="H593" s="2"/>
      <c r="I593" s="2"/>
    </row>
    <row r="594" spans="4:9" ht="13" x14ac:dyDescent="0.15">
      <c r="D594" s="2"/>
      <c r="E594" s="2"/>
      <c r="F594" s="2"/>
      <c r="G594" s="2"/>
      <c r="H594" s="2"/>
      <c r="I594" s="2"/>
    </row>
    <row r="595" spans="4:9" ht="13" x14ac:dyDescent="0.15">
      <c r="D595" s="2"/>
      <c r="E595" s="2"/>
      <c r="F595" s="2"/>
      <c r="G595" s="2"/>
      <c r="H595" s="2"/>
      <c r="I595" s="2"/>
    </row>
    <row r="596" spans="4:9" ht="13" x14ac:dyDescent="0.15">
      <c r="D596" s="2"/>
      <c r="E596" s="2"/>
      <c r="F596" s="2"/>
      <c r="G596" s="2"/>
      <c r="H596" s="2"/>
      <c r="I596" s="2"/>
    </row>
    <row r="597" spans="4:9" ht="13" x14ac:dyDescent="0.15">
      <c r="D597" s="2"/>
      <c r="E597" s="2"/>
      <c r="F597" s="2"/>
      <c r="G597" s="2"/>
      <c r="H597" s="2"/>
      <c r="I597" s="2"/>
    </row>
    <row r="598" spans="4:9" ht="13" x14ac:dyDescent="0.15">
      <c r="D598" s="2"/>
      <c r="E598" s="2"/>
      <c r="F598" s="2"/>
      <c r="G598" s="2"/>
      <c r="H598" s="2"/>
      <c r="I598" s="2"/>
    </row>
    <row r="599" spans="4:9" ht="13" x14ac:dyDescent="0.15">
      <c r="D599" s="2"/>
      <c r="E599" s="2"/>
      <c r="F599" s="2"/>
      <c r="G599" s="2"/>
      <c r="H599" s="2"/>
      <c r="I599" s="2"/>
    </row>
    <row r="600" spans="4:9" ht="13" x14ac:dyDescent="0.15">
      <c r="D600" s="2"/>
      <c r="E600" s="2"/>
      <c r="F600" s="2"/>
      <c r="G600" s="2"/>
      <c r="H600" s="2"/>
      <c r="I600" s="2"/>
    </row>
    <row r="601" spans="4:9" ht="13" x14ac:dyDescent="0.15">
      <c r="D601" s="2"/>
      <c r="E601" s="2"/>
      <c r="F601" s="2"/>
      <c r="G601" s="2"/>
      <c r="H601" s="2"/>
      <c r="I601" s="2"/>
    </row>
    <row r="602" spans="4:9" ht="13" x14ac:dyDescent="0.15">
      <c r="D602" s="2"/>
      <c r="E602" s="2"/>
      <c r="F602" s="2"/>
      <c r="G602" s="2"/>
      <c r="H602" s="2"/>
      <c r="I602" s="2"/>
    </row>
    <row r="603" spans="4:9" ht="13" x14ac:dyDescent="0.15">
      <c r="D603" s="2"/>
      <c r="E603" s="2"/>
      <c r="F603" s="2"/>
      <c r="G603" s="2"/>
      <c r="H603" s="2"/>
      <c r="I603" s="2"/>
    </row>
    <row r="604" spans="4:9" ht="13" x14ac:dyDescent="0.15">
      <c r="D604" s="2"/>
      <c r="E604" s="2"/>
      <c r="F604" s="2"/>
      <c r="G604" s="2"/>
      <c r="H604" s="2"/>
      <c r="I604" s="2"/>
    </row>
    <row r="605" spans="4:9" ht="13" x14ac:dyDescent="0.15">
      <c r="D605" s="2"/>
      <c r="E605" s="2"/>
      <c r="F605" s="2"/>
      <c r="G605" s="2"/>
      <c r="H605" s="2"/>
      <c r="I605" s="2"/>
    </row>
    <row r="606" spans="4:9" ht="13" x14ac:dyDescent="0.15">
      <c r="D606" s="2"/>
      <c r="E606" s="2"/>
      <c r="F606" s="2"/>
      <c r="G606" s="2"/>
      <c r="H606" s="2"/>
      <c r="I606" s="2"/>
    </row>
    <row r="607" spans="4:9" ht="13" x14ac:dyDescent="0.15">
      <c r="D607" s="2"/>
      <c r="E607" s="2"/>
      <c r="F607" s="2"/>
      <c r="G607" s="2"/>
      <c r="H607" s="2"/>
      <c r="I607" s="2"/>
    </row>
    <row r="608" spans="4:9" ht="13" x14ac:dyDescent="0.15">
      <c r="D608" s="2"/>
      <c r="E608" s="2"/>
      <c r="F608" s="2"/>
      <c r="G608" s="2"/>
      <c r="H608" s="2"/>
      <c r="I608" s="2"/>
    </row>
    <row r="609" spans="4:9" ht="13" x14ac:dyDescent="0.15">
      <c r="D609" s="2"/>
      <c r="E609" s="2"/>
      <c r="F609" s="2"/>
      <c r="G609" s="2"/>
      <c r="H609" s="2"/>
      <c r="I609" s="2"/>
    </row>
    <row r="610" spans="4:9" ht="13" x14ac:dyDescent="0.15">
      <c r="D610" s="2"/>
      <c r="E610" s="2"/>
      <c r="F610" s="2"/>
      <c r="G610" s="2"/>
      <c r="H610" s="2"/>
      <c r="I610" s="2"/>
    </row>
    <row r="611" spans="4:9" ht="13" x14ac:dyDescent="0.15">
      <c r="D611" s="2"/>
      <c r="E611" s="2"/>
      <c r="F611" s="2"/>
      <c r="G611" s="2"/>
      <c r="H611" s="2"/>
      <c r="I611" s="2"/>
    </row>
    <row r="612" spans="4:9" ht="13" x14ac:dyDescent="0.15">
      <c r="D612" s="2"/>
      <c r="E612" s="2"/>
      <c r="F612" s="2"/>
      <c r="G612" s="2"/>
      <c r="H612" s="2"/>
      <c r="I612" s="2"/>
    </row>
    <row r="613" spans="4:9" ht="13" x14ac:dyDescent="0.15">
      <c r="D613" s="2"/>
      <c r="E613" s="2"/>
      <c r="F613" s="2"/>
      <c r="G613" s="2"/>
      <c r="H613" s="2"/>
      <c r="I613" s="2"/>
    </row>
    <row r="614" spans="4:9" ht="13" x14ac:dyDescent="0.15">
      <c r="D614" s="2"/>
      <c r="E614" s="2"/>
      <c r="F614" s="2"/>
      <c r="G614" s="2"/>
      <c r="H614" s="2"/>
      <c r="I614" s="2"/>
    </row>
    <row r="615" spans="4:9" ht="13" x14ac:dyDescent="0.15">
      <c r="D615" s="2"/>
      <c r="E615" s="2"/>
      <c r="F615" s="2"/>
      <c r="G615" s="2"/>
      <c r="H615" s="2"/>
      <c r="I615" s="2"/>
    </row>
    <row r="616" spans="4:9" ht="13" x14ac:dyDescent="0.15">
      <c r="D616" s="2"/>
      <c r="E616" s="2"/>
      <c r="F616" s="2"/>
      <c r="G616" s="2"/>
      <c r="H616" s="2"/>
      <c r="I616" s="2"/>
    </row>
    <row r="617" spans="4:9" ht="13" x14ac:dyDescent="0.15">
      <c r="D617" s="2"/>
      <c r="E617" s="2"/>
      <c r="F617" s="2"/>
      <c r="G617" s="2"/>
      <c r="H617" s="2"/>
      <c r="I617" s="2"/>
    </row>
    <row r="618" spans="4:9" ht="13" x14ac:dyDescent="0.15">
      <c r="D618" s="2"/>
      <c r="E618" s="2"/>
      <c r="F618" s="2"/>
      <c r="G618" s="2"/>
      <c r="H618" s="2"/>
      <c r="I618" s="2"/>
    </row>
    <row r="619" spans="4:9" ht="13" x14ac:dyDescent="0.15">
      <c r="D619" s="2"/>
      <c r="E619" s="2"/>
      <c r="F619" s="2"/>
      <c r="G619" s="2"/>
      <c r="H619" s="2"/>
      <c r="I619" s="2"/>
    </row>
    <row r="620" spans="4:9" ht="13" x14ac:dyDescent="0.15">
      <c r="D620" s="2"/>
      <c r="E620" s="2"/>
      <c r="F620" s="2"/>
      <c r="G620" s="2"/>
      <c r="H620" s="2"/>
      <c r="I620" s="2"/>
    </row>
    <row r="621" spans="4:9" ht="13" x14ac:dyDescent="0.15">
      <c r="D621" s="2"/>
      <c r="E621" s="2"/>
      <c r="F621" s="2"/>
      <c r="G621" s="2"/>
      <c r="H621" s="2"/>
      <c r="I621" s="2"/>
    </row>
    <row r="622" spans="4:9" ht="13" x14ac:dyDescent="0.15">
      <c r="D622" s="2"/>
      <c r="E622" s="2"/>
      <c r="F622" s="2"/>
      <c r="G622" s="2"/>
      <c r="H622" s="2"/>
      <c r="I622" s="2"/>
    </row>
    <row r="623" spans="4:9" ht="13" x14ac:dyDescent="0.15">
      <c r="D623" s="2"/>
      <c r="E623" s="2"/>
      <c r="F623" s="2"/>
      <c r="G623" s="2"/>
      <c r="H623" s="2"/>
      <c r="I623" s="2"/>
    </row>
    <row r="624" spans="4:9" ht="13" x14ac:dyDescent="0.15">
      <c r="D624" s="2"/>
      <c r="E624" s="2"/>
      <c r="F624" s="2"/>
      <c r="G624" s="2"/>
      <c r="H624" s="2"/>
      <c r="I624" s="2"/>
    </row>
    <row r="625" spans="4:9" ht="13" x14ac:dyDescent="0.15">
      <c r="D625" s="2"/>
      <c r="E625" s="2"/>
      <c r="F625" s="2"/>
      <c r="G625" s="2"/>
      <c r="H625" s="2"/>
      <c r="I625" s="2"/>
    </row>
    <row r="626" spans="4:9" ht="13" x14ac:dyDescent="0.15">
      <c r="D626" s="2"/>
      <c r="E626" s="2"/>
      <c r="F626" s="2"/>
      <c r="G626" s="2"/>
      <c r="H626" s="2"/>
      <c r="I626" s="2"/>
    </row>
    <row r="627" spans="4:9" ht="13" x14ac:dyDescent="0.15">
      <c r="D627" s="2"/>
      <c r="E627" s="2"/>
      <c r="F627" s="2"/>
      <c r="G627" s="2"/>
      <c r="H627" s="2"/>
      <c r="I627" s="2"/>
    </row>
    <row r="628" spans="4:9" ht="13" x14ac:dyDescent="0.15">
      <c r="D628" s="2"/>
      <c r="E628" s="2"/>
      <c r="F628" s="2"/>
      <c r="G628" s="2"/>
      <c r="H628" s="2"/>
      <c r="I628" s="2"/>
    </row>
    <row r="629" spans="4:9" ht="13" x14ac:dyDescent="0.15">
      <c r="D629" s="2"/>
      <c r="E629" s="2"/>
      <c r="F629" s="2"/>
      <c r="G629" s="2"/>
      <c r="H629" s="2"/>
      <c r="I629" s="2"/>
    </row>
    <row r="630" spans="4:9" ht="13" x14ac:dyDescent="0.15">
      <c r="D630" s="2"/>
      <c r="E630" s="2"/>
      <c r="F630" s="2"/>
      <c r="G630" s="2"/>
      <c r="H630" s="2"/>
      <c r="I630" s="2"/>
    </row>
    <row r="631" spans="4:9" ht="13" x14ac:dyDescent="0.15">
      <c r="D631" s="2"/>
      <c r="E631" s="2"/>
      <c r="F631" s="2"/>
      <c r="G631" s="2"/>
      <c r="H631" s="2"/>
      <c r="I631" s="2"/>
    </row>
    <row r="632" spans="4:9" ht="13" x14ac:dyDescent="0.15">
      <c r="D632" s="2"/>
      <c r="E632" s="2"/>
      <c r="F632" s="2"/>
      <c r="G632" s="2"/>
      <c r="H632" s="2"/>
      <c r="I632" s="2"/>
    </row>
    <row r="633" spans="4:9" ht="13" x14ac:dyDescent="0.15">
      <c r="D633" s="2"/>
      <c r="E633" s="2"/>
      <c r="F633" s="2"/>
      <c r="G633" s="2"/>
      <c r="H633" s="2"/>
      <c r="I633" s="2"/>
    </row>
    <row r="634" spans="4:9" ht="13" x14ac:dyDescent="0.15">
      <c r="D634" s="2"/>
      <c r="E634" s="2"/>
      <c r="F634" s="2"/>
      <c r="G634" s="2"/>
      <c r="H634" s="2"/>
      <c r="I634" s="2"/>
    </row>
    <row r="635" spans="4:9" ht="13" x14ac:dyDescent="0.15">
      <c r="D635" s="2"/>
      <c r="E635" s="2"/>
      <c r="F635" s="2"/>
      <c r="G635" s="2"/>
      <c r="H635" s="2"/>
      <c r="I635" s="2"/>
    </row>
    <row r="636" spans="4:9" ht="13" x14ac:dyDescent="0.15">
      <c r="D636" s="2"/>
      <c r="E636" s="2"/>
      <c r="F636" s="2"/>
      <c r="G636" s="2"/>
      <c r="H636" s="2"/>
      <c r="I636" s="2"/>
    </row>
    <row r="637" spans="4:9" ht="13" x14ac:dyDescent="0.15">
      <c r="D637" s="2"/>
      <c r="E637" s="2"/>
      <c r="F637" s="2"/>
      <c r="G637" s="2"/>
      <c r="H637" s="2"/>
      <c r="I637" s="2"/>
    </row>
    <row r="638" spans="4:9" ht="13" x14ac:dyDescent="0.15">
      <c r="D638" s="2"/>
      <c r="E638" s="2"/>
      <c r="F638" s="2"/>
      <c r="G638" s="2"/>
      <c r="H638" s="2"/>
      <c r="I638" s="2"/>
    </row>
    <row r="639" spans="4:9" ht="13" x14ac:dyDescent="0.15">
      <c r="D639" s="2"/>
      <c r="E639" s="2"/>
      <c r="F639" s="2"/>
      <c r="G639" s="2"/>
      <c r="H639" s="2"/>
      <c r="I639" s="2"/>
    </row>
    <row r="640" spans="4:9" ht="13" x14ac:dyDescent="0.15">
      <c r="D640" s="2"/>
      <c r="E640" s="2"/>
      <c r="F640" s="2"/>
      <c r="G640" s="2"/>
      <c r="H640" s="2"/>
      <c r="I640" s="2"/>
    </row>
    <row r="641" spans="4:9" ht="13" x14ac:dyDescent="0.15">
      <c r="D641" s="2"/>
      <c r="E641" s="2"/>
      <c r="F641" s="2"/>
      <c r="G641" s="2"/>
      <c r="H641" s="2"/>
      <c r="I641" s="2"/>
    </row>
    <row r="642" spans="4:9" ht="13" x14ac:dyDescent="0.15">
      <c r="D642" s="2"/>
      <c r="E642" s="2"/>
      <c r="F642" s="2"/>
      <c r="G642" s="2"/>
      <c r="H642" s="2"/>
      <c r="I642" s="2"/>
    </row>
    <row r="643" spans="4:9" ht="13" x14ac:dyDescent="0.15">
      <c r="D643" s="2"/>
      <c r="E643" s="2"/>
      <c r="F643" s="2"/>
      <c r="G643" s="2"/>
      <c r="H643" s="2"/>
      <c r="I643" s="2"/>
    </row>
    <row r="644" spans="4:9" ht="13" x14ac:dyDescent="0.15">
      <c r="D644" s="2"/>
      <c r="E644" s="2"/>
      <c r="F644" s="2"/>
      <c r="G644" s="2"/>
      <c r="H644" s="2"/>
      <c r="I644" s="2"/>
    </row>
    <row r="645" spans="4:9" ht="13" x14ac:dyDescent="0.15">
      <c r="D645" s="2"/>
      <c r="E645" s="2"/>
      <c r="F645" s="2"/>
      <c r="G645" s="2"/>
      <c r="H645" s="2"/>
      <c r="I645" s="2"/>
    </row>
    <row r="646" spans="4:9" ht="13" x14ac:dyDescent="0.15">
      <c r="D646" s="2"/>
      <c r="E646" s="2"/>
      <c r="F646" s="2"/>
      <c r="G646" s="2"/>
      <c r="H646" s="2"/>
      <c r="I646" s="2"/>
    </row>
    <row r="647" spans="4:9" ht="13" x14ac:dyDescent="0.15">
      <c r="D647" s="2"/>
      <c r="E647" s="2"/>
      <c r="F647" s="2"/>
      <c r="G647" s="2"/>
      <c r="H647" s="2"/>
      <c r="I647" s="2"/>
    </row>
    <row r="648" spans="4:9" ht="13" x14ac:dyDescent="0.15">
      <c r="D648" s="2"/>
      <c r="E648" s="2"/>
      <c r="F648" s="2"/>
      <c r="G648" s="2"/>
      <c r="H648" s="2"/>
      <c r="I648" s="2"/>
    </row>
    <row r="649" spans="4:9" ht="13" x14ac:dyDescent="0.15">
      <c r="D649" s="2"/>
      <c r="E649" s="2"/>
      <c r="F649" s="2"/>
      <c r="G649" s="2"/>
      <c r="H649" s="2"/>
      <c r="I649" s="2"/>
    </row>
    <row r="650" spans="4:9" ht="13" x14ac:dyDescent="0.15">
      <c r="D650" s="2"/>
      <c r="E650" s="2"/>
      <c r="F650" s="2"/>
      <c r="G650" s="2"/>
      <c r="H650" s="2"/>
      <c r="I650" s="2"/>
    </row>
    <row r="651" spans="4:9" ht="13" x14ac:dyDescent="0.15">
      <c r="D651" s="2"/>
      <c r="E651" s="2"/>
      <c r="F651" s="2"/>
      <c r="G651" s="2"/>
      <c r="H651" s="2"/>
      <c r="I651" s="2"/>
    </row>
    <row r="652" spans="4:9" ht="13" x14ac:dyDescent="0.15">
      <c r="D652" s="2"/>
      <c r="E652" s="2"/>
      <c r="F652" s="2"/>
      <c r="G652" s="2"/>
      <c r="H652" s="2"/>
      <c r="I652" s="2"/>
    </row>
    <row r="653" spans="4:9" ht="13" x14ac:dyDescent="0.15">
      <c r="D653" s="2"/>
      <c r="E653" s="2"/>
      <c r="F653" s="2"/>
      <c r="G653" s="2"/>
      <c r="H653" s="2"/>
      <c r="I653" s="2"/>
    </row>
    <row r="654" spans="4:9" ht="13" x14ac:dyDescent="0.15">
      <c r="D654" s="2"/>
      <c r="E654" s="2"/>
      <c r="F654" s="2"/>
      <c r="G654" s="2"/>
      <c r="H654" s="2"/>
      <c r="I654" s="2"/>
    </row>
    <row r="655" spans="4:9" ht="13" x14ac:dyDescent="0.15">
      <c r="D655" s="2"/>
      <c r="E655" s="2"/>
      <c r="F655" s="2"/>
      <c r="G655" s="2"/>
      <c r="H655" s="2"/>
      <c r="I655" s="2"/>
    </row>
    <row r="656" spans="4:9" ht="13" x14ac:dyDescent="0.15">
      <c r="D656" s="2"/>
      <c r="E656" s="2"/>
      <c r="F656" s="2"/>
      <c r="G656" s="2"/>
      <c r="H656" s="2"/>
      <c r="I656" s="2"/>
    </row>
    <row r="657" spans="4:9" ht="13" x14ac:dyDescent="0.15">
      <c r="D657" s="2"/>
      <c r="E657" s="2"/>
      <c r="F657" s="2"/>
      <c r="G657" s="2"/>
      <c r="H657" s="2"/>
      <c r="I657" s="2"/>
    </row>
    <row r="658" spans="4:9" ht="13" x14ac:dyDescent="0.15">
      <c r="D658" s="2"/>
      <c r="E658" s="2"/>
      <c r="F658" s="2"/>
      <c r="G658" s="2"/>
      <c r="H658" s="2"/>
      <c r="I658" s="2"/>
    </row>
    <row r="659" spans="4:9" ht="13" x14ac:dyDescent="0.15">
      <c r="D659" s="2"/>
      <c r="E659" s="2"/>
      <c r="F659" s="2"/>
      <c r="G659" s="2"/>
      <c r="H659" s="2"/>
      <c r="I659" s="2"/>
    </row>
    <row r="660" spans="4:9" ht="13" x14ac:dyDescent="0.15">
      <c r="D660" s="2"/>
      <c r="E660" s="2"/>
      <c r="F660" s="2"/>
      <c r="G660" s="2"/>
      <c r="H660" s="2"/>
      <c r="I660" s="2"/>
    </row>
    <row r="661" spans="4:9" ht="13" x14ac:dyDescent="0.15">
      <c r="D661" s="2"/>
      <c r="E661" s="2"/>
      <c r="F661" s="2"/>
      <c r="G661" s="2"/>
      <c r="H661" s="2"/>
      <c r="I661" s="2"/>
    </row>
    <row r="662" spans="4:9" ht="13" x14ac:dyDescent="0.15">
      <c r="D662" s="2"/>
      <c r="E662" s="2"/>
      <c r="F662" s="2"/>
      <c r="G662" s="2"/>
      <c r="H662" s="2"/>
      <c r="I662" s="2"/>
    </row>
    <row r="663" spans="4:9" ht="13" x14ac:dyDescent="0.15">
      <c r="D663" s="2"/>
      <c r="E663" s="2"/>
      <c r="F663" s="2"/>
      <c r="G663" s="2"/>
      <c r="H663" s="2"/>
      <c r="I663" s="2"/>
    </row>
    <row r="664" spans="4:9" ht="13" x14ac:dyDescent="0.15">
      <c r="D664" s="2"/>
      <c r="E664" s="2"/>
      <c r="F664" s="2"/>
      <c r="G664" s="2"/>
      <c r="H664" s="2"/>
      <c r="I664" s="2"/>
    </row>
    <row r="665" spans="4:9" ht="13" x14ac:dyDescent="0.15">
      <c r="D665" s="2"/>
      <c r="E665" s="2"/>
      <c r="F665" s="2"/>
      <c r="G665" s="2"/>
      <c r="H665" s="2"/>
      <c r="I665" s="2"/>
    </row>
    <row r="666" spans="4:9" ht="13" x14ac:dyDescent="0.15">
      <c r="D666" s="2"/>
      <c r="E666" s="2"/>
      <c r="F666" s="2"/>
      <c r="G666" s="2"/>
      <c r="H666" s="2"/>
      <c r="I666" s="2"/>
    </row>
    <row r="667" spans="4:9" ht="13" x14ac:dyDescent="0.15">
      <c r="D667" s="2"/>
      <c r="E667" s="2"/>
      <c r="F667" s="2"/>
      <c r="G667" s="2"/>
      <c r="H667" s="2"/>
      <c r="I667" s="2"/>
    </row>
    <row r="668" spans="4:9" ht="13" x14ac:dyDescent="0.15">
      <c r="D668" s="2"/>
      <c r="E668" s="2"/>
      <c r="F668" s="2"/>
      <c r="G668" s="2"/>
      <c r="H668" s="2"/>
      <c r="I668" s="2"/>
    </row>
    <row r="669" spans="4:9" ht="13" x14ac:dyDescent="0.15">
      <c r="D669" s="2"/>
      <c r="E669" s="2"/>
      <c r="F669" s="2"/>
      <c r="G669" s="2"/>
      <c r="H669" s="2"/>
      <c r="I669" s="2"/>
    </row>
    <row r="670" spans="4:9" ht="13" x14ac:dyDescent="0.15">
      <c r="D670" s="2"/>
      <c r="E670" s="2"/>
      <c r="F670" s="2"/>
      <c r="G670" s="2"/>
      <c r="H670" s="2"/>
      <c r="I670" s="2"/>
    </row>
    <row r="671" spans="4:9" ht="13" x14ac:dyDescent="0.15">
      <c r="D671" s="2"/>
      <c r="E671" s="2"/>
      <c r="F671" s="2"/>
      <c r="G671" s="2"/>
      <c r="H671" s="2"/>
      <c r="I671" s="2"/>
    </row>
    <row r="672" spans="4:9" ht="13" x14ac:dyDescent="0.15">
      <c r="D672" s="2"/>
      <c r="E672" s="2"/>
      <c r="F672" s="2"/>
      <c r="G672" s="2"/>
      <c r="H672" s="2"/>
      <c r="I672" s="2"/>
    </row>
    <row r="673" spans="4:9" ht="13" x14ac:dyDescent="0.15">
      <c r="D673" s="2"/>
      <c r="E673" s="2"/>
      <c r="F673" s="2"/>
      <c r="G673" s="2"/>
      <c r="H673" s="2"/>
      <c r="I673" s="2"/>
    </row>
    <row r="674" spans="4:9" ht="13" x14ac:dyDescent="0.15">
      <c r="D674" s="2"/>
      <c r="E674" s="2"/>
      <c r="F674" s="2"/>
      <c r="G674" s="2"/>
      <c r="H674" s="2"/>
      <c r="I674" s="2"/>
    </row>
    <row r="675" spans="4:9" ht="13" x14ac:dyDescent="0.15">
      <c r="D675" s="2"/>
      <c r="E675" s="2"/>
      <c r="F675" s="2"/>
      <c r="G675" s="2"/>
      <c r="H675" s="2"/>
      <c r="I675" s="2"/>
    </row>
    <row r="676" spans="4:9" ht="13" x14ac:dyDescent="0.15">
      <c r="D676" s="2"/>
      <c r="E676" s="2"/>
      <c r="F676" s="2"/>
      <c r="G676" s="2"/>
      <c r="H676" s="2"/>
      <c r="I676" s="2"/>
    </row>
    <row r="677" spans="4:9" ht="13" x14ac:dyDescent="0.15">
      <c r="D677" s="2"/>
      <c r="E677" s="2"/>
      <c r="F677" s="2"/>
      <c r="G677" s="2"/>
      <c r="H677" s="2"/>
      <c r="I677" s="2"/>
    </row>
    <row r="678" spans="4:9" ht="13" x14ac:dyDescent="0.15">
      <c r="D678" s="2"/>
      <c r="E678" s="2"/>
      <c r="F678" s="2"/>
      <c r="G678" s="2"/>
      <c r="H678" s="2"/>
      <c r="I678" s="2"/>
    </row>
    <row r="679" spans="4:9" ht="13" x14ac:dyDescent="0.15">
      <c r="D679" s="2"/>
      <c r="E679" s="2"/>
      <c r="F679" s="2"/>
      <c r="G679" s="2"/>
      <c r="H679" s="2"/>
      <c r="I679" s="2"/>
    </row>
    <row r="680" spans="4:9" ht="13" x14ac:dyDescent="0.15">
      <c r="D680" s="2"/>
      <c r="E680" s="2"/>
      <c r="F680" s="2"/>
      <c r="G680" s="2"/>
      <c r="H680" s="2"/>
      <c r="I680" s="2"/>
    </row>
    <row r="681" spans="4:9" ht="13" x14ac:dyDescent="0.15">
      <c r="D681" s="2"/>
      <c r="E681" s="2"/>
      <c r="F681" s="2"/>
      <c r="G681" s="2"/>
      <c r="H681" s="2"/>
      <c r="I681" s="2"/>
    </row>
    <row r="682" spans="4:9" ht="13" x14ac:dyDescent="0.15">
      <c r="D682" s="2"/>
      <c r="E682" s="2"/>
      <c r="F682" s="2"/>
      <c r="G682" s="2"/>
      <c r="H682" s="2"/>
      <c r="I682" s="2"/>
    </row>
    <row r="683" spans="4:9" ht="13" x14ac:dyDescent="0.15">
      <c r="D683" s="2"/>
      <c r="E683" s="2"/>
      <c r="F683" s="2"/>
      <c r="G683" s="2"/>
      <c r="H683" s="2"/>
      <c r="I683" s="2"/>
    </row>
    <row r="684" spans="4:9" ht="13" x14ac:dyDescent="0.15">
      <c r="D684" s="2"/>
      <c r="E684" s="2"/>
      <c r="F684" s="2"/>
      <c r="G684" s="2"/>
      <c r="H684" s="2"/>
      <c r="I684" s="2"/>
    </row>
    <row r="685" spans="4:9" ht="13" x14ac:dyDescent="0.15">
      <c r="D685" s="2"/>
      <c r="E685" s="2"/>
      <c r="F685" s="2"/>
      <c r="G685" s="2"/>
      <c r="H685" s="2"/>
      <c r="I685" s="2"/>
    </row>
    <row r="686" spans="4:9" ht="13" x14ac:dyDescent="0.15">
      <c r="D686" s="2"/>
      <c r="E686" s="2"/>
      <c r="F686" s="2"/>
      <c r="G686" s="2"/>
      <c r="H686" s="2"/>
      <c r="I686" s="2"/>
    </row>
    <row r="687" spans="4:9" ht="13" x14ac:dyDescent="0.15">
      <c r="D687" s="2"/>
      <c r="E687" s="2"/>
      <c r="F687" s="2"/>
      <c r="G687" s="2"/>
      <c r="H687" s="2"/>
      <c r="I687" s="2"/>
    </row>
    <row r="688" spans="4:9" ht="13" x14ac:dyDescent="0.15">
      <c r="D688" s="2"/>
      <c r="E688" s="2"/>
      <c r="F688" s="2"/>
      <c r="G688" s="2"/>
      <c r="H688" s="2"/>
      <c r="I688" s="2"/>
    </row>
    <row r="689" spans="4:9" ht="13" x14ac:dyDescent="0.15">
      <c r="D689" s="2"/>
      <c r="E689" s="2"/>
      <c r="F689" s="2"/>
      <c r="G689" s="2"/>
      <c r="H689" s="2"/>
      <c r="I689" s="2"/>
    </row>
    <row r="690" spans="4:9" ht="13" x14ac:dyDescent="0.15">
      <c r="D690" s="2"/>
      <c r="E690" s="2"/>
      <c r="F690" s="2"/>
      <c r="G690" s="2"/>
      <c r="H690" s="2"/>
      <c r="I690" s="2"/>
    </row>
    <row r="691" spans="4:9" ht="13" x14ac:dyDescent="0.15">
      <c r="D691" s="2"/>
      <c r="E691" s="2"/>
      <c r="F691" s="2"/>
      <c r="G691" s="2"/>
      <c r="H691" s="2"/>
      <c r="I691" s="2"/>
    </row>
    <row r="692" spans="4:9" ht="13" x14ac:dyDescent="0.15">
      <c r="D692" s="2"/>
      <c r="E692" s="2"/>
      <c r="F692" s="2"/>
      <c r="G692" s="2"/>
      <c r="H692" s="2"/>
      <c r="I692" s="2"/>
    </row>
    <row r="693" spans="4:9" ht="13" x14ac:dyDescent="0.15">
      <c r="D693" s="2"/>
      <c r="E693" s="2"/>
      <c r="F693" s="2"/>
      <c r="G693" s="2"/>
      <c r="H693" s="2"/>
      <c r="I693" s="2"/>
    </row>
    <row r="694" spans="4:9" ht="13" x14ac:dyDescent="0.15">
      <c r="D694" s="2"/>
      <c r="E694" s="2"/>
      <c r="F694" s="2"/>
      <c r="G694" s="2"/>
      <c r="H694" s="2"/>
      <c r="I694" s="2"/>
    </row>
    <row r="695" spans="4:9" ht="13" x14ac:dyDescent="0.15">
      <c r="D695" s="2"/>
      <c r="E695" s="2"/>
      <c r="F695" s="2"/>
      <c r="G695" s="2"/>
      <c r="H695" s="2"/>
      <c r="I695" s="2"/>
    </row>
    <row r="696" spans="4:9" ht="13" x14ac:dyDescent="0.15">
      <c r="D696" s="2"/>
      <c r="E696" s="2"/>
      <c r="F696" s="2"/>
      <c r="G696" s="2"/>
      <c r="H696" s="2"/>
      <c r="I696" s="2"/>
    </row>
    <row r="697" spans="4:9" ht="13" x14ac:dyDescent="0.15">
      <c r="D697" s="2"/>
      <c r="E697" s="2"/>
      <c r="F697" s="2"/>
      <c r="G697" s="2"/>
      <c r="H697" s="2"/>
      <c r="I697" s="2"/>
    </row>
    <row r="698" spans="4:9" ht="13" x14ac:dyDescent="0.15">
      <c r="D698" s="2"/>
      <c r="E698" s="2"/>
      <c r="F698" s="2"/>
      <c r="G698" s="2"/>
      <c r="H698" s="2"/>
      <c r="I698" s="2"/>
    </row>
    <row r="699" spans="4:9" ht="13" x14ac:dyDescent="0.15">
      <c r="D699" s="2"/>
      <c r="E699" s="2"/>
      <c r="F699" s="2"/>
      <c r="G699" s="2"/>
      <c r="H699" s="2"/>
      <c r="I699" s="2"/>
    </row>
    <row r="700" spans="4:9" ht="13" x14ac:dyDescent="0.15">
      <c r="D700" s="2"/>
      <c r="E700" s="2"/>
      <c r="F700" s="2"/>
      <c r="G700" s="2"/>
      <c r="H700" s="2"/>
      <c r="I700" s="2"/>
    </row>
    <row r="701" spans="4:9" ht="13" x14ac:dyDescent="0.15">
      <c r="D701" s="2"/>
      <c r="E701" s="2"/>
      <c r="F701" s="2"/>
      <c r="G701" s="2"/>
      <c r="H701" s="2"/>
      <c r="I701" s="2"/>
    </row>
    <row r="702" spans="4:9" ht="13" x14ac:dyDescent="0.15">
      <c r="D702" s="2"/>
      <c r="E702" s="2"/>
      <c r="F702" s="2"/>
      <c r="G702" s="2"/>
      <c r="H702" s="2"/>
      <c r="I702" s="2"/>
    </row>
    <row r="703" spans="4:9" ht="13" x14ac:dyDescent="0.15">
      <c r="D703" s="2"/>
      <c r="E703" s="2"/>
      <c r="F703" s="2"/>
      <c r="G703" s="2"/>
      <c r="H703" s="2"/>
      <c r="I703" s="2"/>
    </row>
    <row r="704" spans="4:9" ht="13" x14ac:dyDescent="0.15">
      <c r="D704" s="2"/>
      <c r="E704" s="2"/>
      <c r="F704" s="2"/>
      <c r="G704" s="2"/>
      <c r="H704" s="2"/>
      <c r="I704" s="2"/>
    </row>
    <row r="705" spans="4:9" ht="13" x14ac:dyDescent="0.15">
      <c r="D705" s="2"/>
      <c r="E705" s="2"/>
      <c r="F705" s="2"/>
      <c r="G705" s="2"/>
      <c r="H705" s="2"/>
      <c r="I705" s="2"/>
    </row>
    <row r="706" spans="4:9" ht="13" x14ac:dyDescent="0.15">
      <c r="D706" s="2"/>
      <c r="E706" s="2"/>
      <c r="F706" s="2"/>
      <c r="G706" s="2"/>
      <c r="H706" s="2"/>
      <c r="I706" s="2"/>
    </row>
    <row r="707" spans="4:9" ht="13" x14ac:dyDescent="0.15">
      <c r="D707" s="2"/>
      <c r="E707" s="2"/>
      <c r="F707" s="2"/>
      <c r="G707" s="2"/>
      <c r="H707" s="2"/>
      <c r="I707" s="2"/>
    </row>
    <row r="708" spans="4:9" ht="13" x14ac:dyDescent="0.15">
      <c r="D708" s="2"/>
      <c r="E708" s="2"/>
      <c r="F708" s="2"/>
      <c r="G708" s="2"/>
      <c r="H708" s="2"/>
      <c r="I708" s="2"/>
    </row>
    <row r="709" spans="4:9" ht="13" x14ac:dyDescent="0.15">
      <c r="D709" s="2"/>
      <c r="E709" s="2"/>
      <c r="F709" s="2"/>
      <c r="G709" s="2"/>
      <c r="H709" s="2"/>
      <c r="I709" s="2"/>
    </row>
    <row r="710" spans="4:9" ht="13" x14ac:dyDescent="0.15">
      <c r="D710" s="2"/>
      <c r="E710" s="2"/>
      <c r="F710" s="2"/>
      <c r="G710" s="2"/>
      <c r="H710" s="2"/>
      <c r="I710" s="2"/>
    </row>
    <row r="711" spans="4:9" ht="13" x14ac:dyDescent="0.15">
      <c r="D711" s="2"/>
      <c r="E711" s="2"/>
      <c r="F711" s="2"/>
      <c r="G711" s="2"/>
      <c r="H711" s="2"/>
      <c r="I711" s="2"/>
    </row>
    <row r="712" spans="4:9" ht="13" x14ac:dyDescent="0.15">
      <c r="D712" s="2"/>
      <c r="E712" s="2"/>
      <c r="F712" s="2"/>
      <c r="G712" s="2"/>
      <c r="H712" s="2"/>
      <c r="I712" s="2"/>
    </row>
    <row r="713" spans="4:9" ht="13" x14ac:dyDescent="0.15">
      <c r="D713" s="2"/>
      <c r="E713" s="2"/>
      <c r="F713" s="2"/>
      <c r="G713" s="2"/>
      <c r="H713" s="2"/>
      <c r="I713" s="2"/>
    </row>
    <row r="714" spans="4:9" ht="13" x14ac:dyDescent="0.15">
      <c r="D714" s="2"/>
      <c r="E714" s="2"/>
      <c r="F714" s="2"/>
      <c r="G714" s="2"/>
      <c r="H714" s="2"/>
      <c r="I714" s="2"/>
    </row>
    <row r="715" spans="4:9" ht="13" x14ac:dyDescent="0.15">
      <c r="D715" s="2"/>
      <c r="E715" s="2"/>
      <c r="F715" s="2"/>
      <c r="G715" s="2"/>
      <c r="H715" s="2"/>
      <c r="I715" s="2"/>
    </row>
    <row r="716" spans="4:9" ht="13" x14ac:dyDescent="0.15">
      <c r="D716" s="2"/>
      <c r="E716" s="2"/>
      <c r="F716" s="2"/>
      <c r="G716" s="2"/>
      <c r="H716" s="2"/>
      <c r="I716" s="2"/>
    </row>
    <row r="717" spans="4:9" ht="13" x14ac:dyDescent="0.15">
      <c r="D717" s="2"/>
      <c r="E717" s="2"/>
      <c r="F717" s="2"/>
      <c r="G717" s="2"/>
      <c r="H717" s="2"/>
      <c r="I717" s="2"/>
    </row>
    <row r="718" spans="4:9" ht="13" x14ac:dyDescent="0.15">
      <c r="D718" s="2"/>
      <c r="E718" s="2"/>
      <c r="F718" s="2"/>
      <c r="G718" s="2"/>
      <c r="H718" s="2"/>
      <c r="I718" s="2"/>
    </row>
    <row r="719" spans="4:9" ht="13" x14ac:dyDescent="0.15">
      <c r="D719" s="2"/>
      <c r="E719" s="2"/>
      <c r="F719" s="2"/>
      <c r="G719" s="2"/>
      <c r="H719" s="2"/>
      <c r="I719" s="2"/>
    </row>
    <row r="720" spans="4:9" ht="13" x14ac:dyDescent="0.15">
      <c r="D720" s="2"/>
      <c r="E720" s="2"/>
      <c r="F720" s="2"/>
      <c r="G720" s="2"/>
      <c r="H720" s="2"/>
      <c r="I720" s="2"/>
    </row>
    <row r="721" spans="4:9" ht="13" x14ac:dyDescent="0.15">
      <c r="D721" s="2"/>
      <c r="E721" s="2"/>
      <c r="F721" s="2"/>
      <c r="G721" s="2"/>
      <c r="H721" s="2"/>
      <c r="I721" s="2"/>
    </row>
    <row r="722" spans="4:9" ht="13" x14ac:dyDescent="0.15">
      <c r="D722" s="2"/>
      <c r="E722" s="2"/>
      <c r="F722" s="2"/>
      <c r="G722" s="2"/>
      <c r="H722" s="2"/>
      <c r="I722" s="2"/>
    </row>
    <row r="723" spans="4:9" ht="13" x14ac:dyDescent="0.15">
      <c r="D723" s="2"/>
      <c r="E723" s="2"/>
      <c r="F723" s="2"/>
      <c r="G723" s="2"/>
      <c r="H723" s="2"/>
      <c r="I723" s="2"/>
    </row>
    <row r="724" spans="4:9" ht="13" x14ac:dyDescent="0.15">
      <c r="D724" s="2"/>
      <c r="E724" s="2"/>
      <c r="F724" s="2"/>
      <c r="G724" s="2"/>
      <c r="H724" s="2"/>
      <c r="I724" s="2"/>
    </row>
    <row r="725" spans="4:9" ht="13" x14ac:dyDescent="0.15">
      <c r="D725" s="2"/>
      <c r="E725" s="2"/>
      <c r="F725" s="2"/>
      <c r="G725" s="2"/>
      <c r="H725" s="2"/>
      <c r="I725" s="2"/>
    </row>
    <row r="726" spans="4:9" ht="13" x14ac:dyDescent="0.15">
      <c r="D726" s="2"/>
      <c r="E726" s="2"/>
      <c r="F726" s="2"/>
      <c r="G726" s="2"/>
      <c r="H726" s="2"/>
      <c r="I726" s="2"/>
    </row>
    <row r="727" spans="4:9" ht="13" x14ac:dyDescent="0.15">
      <c r="D727" s="2"/>
      <c r="E727" s="2"/>
      <c r="F727" s="2"/>
      <c r="G727" s="2"/>
      <c r="H727" s="2"/>
      <c r="I727" s="2"/>
    </row>
    <row r="728" spans="4:9" ht="13" x14ac:dyDescent="0.15">
      <c r="D728" s="2"/>
      <c r="E728" s="2"/>
      <c r="F728" s="2"/>
      <c r="G728" s="2"/>
      <c r="H728" s="2"/>
      <c r="I728" s="2"/>
    </row>
    <row r="729" spans="4:9" ht="13" x14ac:dyDescent="0.15">
      <c r="D729" s="2"/>
      <c r="E729" s="2"/>
      <c r="F729" s="2"/>
      <c r="G729" s="2"/>
      <c r="H729" s="2"/>
      <c r="I729" s="2"/>
    </row>
    <row r="730" spans="4:9" ht="13" x14ac:dyDescent="0.15">
      <c r="D730" s="2"/>
      <c r="E730" s="2"/>
      <c r="F730" s="2"/>
      <c r="G730" s="2"/>
      <c r="H730" s="2"/>
      <c r="I730" s="2"/>
    </row>
    <row r="731" spans="4:9" ht="13" x14ac:dyDescent="0.15">
      <c r="D731" s="2"/>
      <c r="E731" s="2"/>
      <c r="F731" s="2"/>
      <c r="G731" s="2"/>
      <c r="H731" s="2"/>
      <c r="I731" s="2"/>
    </row>
    <row r="732" spans="4:9" ht="13" x14ac:dyDescent="0.15">
      <c r="D732" s="2"/>
      <c r="E732" s="2"/>
      <c r="F732" s="2"/>
      <c r="G732" s="2"/>
      <c r="H732" s="2"/>
      <c r="I732" s="2"/>
    </row>
    <row r="733" spans="4:9" ht="13" x14ac:dyDescent="0.15">
      <c r="D733" s="2"/>
      <c r="E733" s="2"/>
      <c r="F733" s="2"/>
      <c r="G733" s="2"/>
      <c r="H733" s="2"/>
      <c r="I733" s="2"/>
    </row>
    <row r="734" spans="4:9" ht="13" x14ac:dyDescent="0.15">
      <c r="D734" s="2"/>
      <c r="E734" s="2"/>
      <c r="F734" s="2"/>
      <c r="G734" s="2"/>
      <c r="H734" s="2"/>
      <c r="I734" s="2"/>
    </row>
    <row r="735" spans="4:9" ht="13" x14ac:dyDescent="0.15">
      <c r="D735" s="2"/>
      <c r="E735" s="2"/>
      <c r="F735" s="2"/>
      <c r="G735" s="2"/>
      <c r="H735" s="2"/>
      <c r="I735" s="2"/>
    </row>
    <row r="736" spans="4:9" ht="13" x14ac:dyDescent="0.15">
      <c r="D736" s="2"/>
      <c r="E736" s="2"/>
      <c r="F736" s="2"/>
      <c r="G736" s="2"/>
      <c r="H736" s="2"/>
      <c r="I736" s="2"/>
    </row>
    <row r="737" spans="4:9" ht="13" x14ac:dyDescent="0.15">
      <c r="D737" s="2"/>
      <c r="E737" s="2"/>
      <c r="F737" s="2"/>
      <c r="G737" s="2"/>
      <c r="H737" s="2"/>
      <c r="I737" s="2"/>
    </row>
    <row r="738" spans="4:9" ht="13" x14ac:dyDescent="0.15">
      <c r="D738" s="2"/>
      <c r="E738" s="2"/>
      <c r="F738" s="2"/>
      <c r="G738" s="2"/>
      <c r="H738" s="2"/>
      <c r="I738" s="2"/>
    </row>
    <row r="739" spans="4:9" ht="13" x14ac:dyDescent="0.15">
      <c r="D739" s="2"/>
      <c r="E739" s="2"/>
      <c r="F739" s="2"/>
      <c r="G739" s="2"/>
      <c r="H739" s="2"/>
      <c r="I739" s="2"/>
    </row>
    <row r="740" spans="4:9" ht="13" x14ac:dyDescent="0.15">
      <c r="D740" s="2"/>
      <c r="E740" s="2"/>
      <c r="F740" s="2"/>
      <c r="G740" s="2"/>
      <c r="H740" s="2"/>
      <c r="I740" s="2"/>
    </row>
    <row r="741" spans="4:9" ht="13" x14ac:dyDescent="0.15">
      <c r="D741" s="2"/>
      <c r="E741" s="2"/>
      <c r="F741" s="2"/>
      <c r="G741" s="2"/>
      <c r="H741" s="2"/>
      <c r="I741" s="2"/>
    </row>
    <row r="742" spans="4:9" ht="13" x14ac:dyDescent="0.15">
      <c r="D742" s="2"/>
      <c r="E742" s="2"/>
      <c r="F742" s="2"/>
      <c r="G742" s="2"/>
      <c r="H742" s="2"/>
      <c r="I742" s="2"/>
    </row>
    <row r="743" spans="4:9" ht="13" x14ac:dyDescent="0.15">
      <c r="D743" s="2"/>
      <c r="E743" s="2"/>
      <c r="F743" s="2"/>
      <c r="G743" s="2"/>
      <c r="H743" s="2"/>
      <c r="I743" s="2"/>
    </row>
    <row r="744" spans="4:9" ht="13" x14ac:dyDescent="0.15">
      <c r="D744" s="2"/>
      <c r="E744" s="2"/>
      <c r="F744" s="2"/>
      <c r="G744" s="2"/>
      <c r="H744" s="2"/>
      <c r="I744" s="2"/>
    </row>
    <row r="745" spans="4:9" ht="13" x14ac:dyDescent="0.15">
      <c r="D745" s="2"/>
      <c r="E745" s="2"/>
      <c r="F745" s="2"/>
      <c r="G745" s="2"/>
      <c r="H745" s="2"/>
      <c r="I745" s="2"/>
    </row>
    <row r="746" spans="4:9" ht="13" x14ac:dyDescent="0.15">
      <c r="D746" s="2"/>
      <c r="E746" s="2"/>
      <c r="F746" s="2"/>
      <c r="G746" s="2"/>
      <c r="H746" s="2"/>
      <c r="I746" s="2"/>
    </row>
    <row r="747" spans="4:9" ht="13" x14ac:dyDescent="0.15">
      <c r="D747" s="2"/>
      <c r="E747" s="2"/>
      <c r="F747" s="2"/>
      <c r="G747" s="2"/>
      <c r="H747" s="2"/>
      <c r="I747" s="2"/>
    </row>
    <row r="748" spans="4:9" ht="13" x14ac:dyDescent="0.15">
      <c r="D748" s="2"/>
      <c r="E748" s="2"/>
      <c r="F748" s="2"/>
      <c r="G748" s="2"/>
      <c r="H748" s="2"/>
      <c r="I748" s="2"/>
    </row>
    <row r="749" spans="4:9" ht="13" x14ac:dyDescent="0.15">
      <c r="D749" s="2"/>
      <c r="E749" s="2"/>
      <c r="F749" s="2"/>
      <c r="G749" s="2"/>
      <c r="H749" s="2"/>
      <c r="I749" s="2"/>
    </row>
    <row r="750" spans="4:9" ht="13" x14ac:dyDescent="0.15">
      <c r="D750" s="2"/>
      <c r="E750" s="2"/>
      <c r="F750" s="2"/>
      <c r="G750" s="2"/>
      <c r="H750" s="2"/>
      <c r="I750" s="2"/>
    </row>
    <row r="751" spans="4:9" ht="13" x14ac:dyDescent="0.15">
      <c r="D751" s="2"/>
      <c r="E751" s="2"/>
      <c r="F751" s="2"/>
      <c r="G751" s="2"/>
      <c r="H751" s="2"/>
      <c r="I751" s="2"/>
    </row>
    <row r="752" spans="4:9" ht="13" x14ac:dyDescent="0.15">
      <c r="D752" s="2"/>
      <c r="E752" s="2"/>
      <c r="F752" s="2"/>
      <c r="G752" s="2"/>
      <c r="H752" s="2"/>
      <c r="I752" s="2"/>
    </row>
    <row r="753" spans="4:9" ht="13" x14ac:dyDescent="0.15">
      <c r="D753" s="2"/>
      <c r="E753" s="2"/>
      <c r="F753" s="2"/>
      <c r="G753" s="2"/>
      <c r="H753" s="2"/>
      <c r="I753" s="2"/>
    </row>
    <row r="754" spans="4:9" ht="13" x14ac:dyDescent="0.15">
      <c r="D754" s="2"/>
      <c r="E754" s="2"/>
      <c r="F754" s="2"/>
      <c r="G754" s="2"/>
      <c r="H754" s="2"/>
      <c r="I754" s="2"/>
    </row>
    <row r="755" spans="4:9" ht="13" x14ac:dyDescent="0.15">
      <c r="D755" s="2"/>
      <c r="E755" s="2"/>
      <c r="F755" s="2"/>
      <c r="G755" s="2"/>
      <c r="H755" s="2"/>
      <c r="I755" s="2"/>
    </row>
    <row r="756" spans="4:9" ht="13" x14ac:dyDescent="0.15">
      <c r="D756" s="2"/>
      <c r="E756" s="2"/>
      <c r="F756" s="2"/>
      <c r="G756" s="2"/>
      <c r="H756" s="2"/>
      <c r="I756" s="2"/>
    </row>
    <row r="757" spans="4:9" ht="13" x14ac:dyDescent="0.15">
      <c r="D757" s="2"/>
      <c r="E757" s="2"/>
      <c r="F757" s="2"/>
      <c r="G757" s="2"/>
      <c r="H757" s="2"/>
      <c r="I757" s="2"/>
    </row>
    <row r="758" spans="4:9" ht="13" x14ac:dyDescent="0.15">
      <c r="D758" s="2"/>
      <c r="E758" s="2"/>
      <c r="F758" s="2"/>
      <c r="G758" s="2"/>
      <c r="H758" s="2"/>
      <c r="I758" s="2"/>
    </row>
    <row r="759" spans="4:9" ht="13" x14ac:dyDescent="0.15">
      <c r="D759" s="2"/>
      <c r="E759" s="2"/>
      <c r="F759" s="2"/>
      <c r="G759" s="2"/>
      <c r="H759" s="2"/>
      <c r="I759" s="2"/>
    </row>
    <row r="760" spans="4:9" ht="13" x14ac:dyDescent="0.15">
      <c r="D760" s="2"/>
      <c r="E760" s="2"/>
      <c r="F760" s="2"/>
      <c r="G760" s="2"/>
      <c r="H760" s="2"/>
      <c r="I760" s="2"/>
    </row>
    <row r="761" spans="4:9" ht="13" x14ac:dyDescent="0.15">
      <c r="D761" s="2"/>
      <c r="E761" s="2"/>
      <c r="F761" s="2"/>
      <c r="G761" s="2"/>
      <c r="H761" s="2"/>
      <c r="I761" s="2"/>
    </row>
    <row r="762" spans="4:9" ht="13" x14ac:dyDescent="0.15">
      <c r="D762" s="2"/>
      <c r="E762" s="2"/>
      <c r="F762" s="2"/>
      <c r="G762" s="2"/>
      <c r="H762" s="2"/>
      <c r="I762" s="2"/>
    </row>
    <row r="763" spans="4:9" ht="13" x14ac:dyDescent="0.15">
      <c r="D763" s="2"/>
      <c r="E763" s="2"/>
      <c r="F763" s="2"/>
      <c r="G763" s="2"/>
      <c r="H763" s="2"/>
      <c r="I763" s="2"/>
    </row>
    <row r="764" spans="4:9" ht="13" x14ac:dyDescent="0.15">
      <c r="D764" s="2"/>
      <c r="E764" s="2"/>
      <c r="F764" s="2"/>
      <c r="G764" s="2"/>
      <c r="H764" s="2"/>
      <c r="I764" s="2"/>
    </row>
    <row r="765" spans="4:9" ht="13" x14ac:dyDescent="0.15">
      <c r="D765" s="2"/>
      <c r="E765" s="2"/>
      <c r="F765" s="2"/>
      <c r="G765" s="2"/>
      <c r="H765" s="2"/>
      <c r="I765" s="2"/>
    </row>
    <row r="766" spans="4:9" ht="13" x14ac:dyDescent="0.15">
      <c r="D766" s="2"/>
      <c r="E766" s="2"/>
      <c r="F766" s="2"/>
      <c r="G766" s="2"/>
      <c r="H766" s="2"/>
      <c r="I766" s="2"/>
    </row>
    <row r="767" spans="4:9" ht="13" x14ac:dyDescent="0.15">
      <c r="D767" s="2"/>
      <c r="E767" s="2"/>
      <c r="F767" s="2"/>
      <c r="G767" s="2"/>
      <c r="H767" s="2"/>
      <c r="I767" s="2"/>
    </row>
    <row r="768" spans="4:9" ht="13" x14ac:dyDescent="0.15">
      <c r="D768" s="2"/>
      <c r="E768" s="2"/>
      <c r="F768" s="2"/>
      <c r="G768" s="2"/>
      <c r="H768" s="2"/>
      <c r="I768" s="2"/>
    </row>
    <row r="769" spans="4:9" ht="13" x14ac:dyDescent="0.15">
      <c r="D769" s="2"/>
      <c r="E769" s="2"/>
      <c r="F769" s="2"/>
      <c r="G769" s="2"/>
      <c r="H769" s="2"/>
      <c r="I769" s="2"/>
    </row>
    <row r="770" spans="4:9" ht="13" x14ac:dyDescent="0.15">
      <c r="D770" s="2"/>
      <c r="E770" s="2"/>
      <c r="F770" s="2"/>
      <c r="G770" s="2"/>
      <c r="H770" s="2"/>
      <c r="I770" s="2"/>
    </row>
    <row r="771" spans="4:9" ht="13" x14ac:dyDescent="0.15">
      <c r="D771" s="2"/>
      <c r="E771" s="2"/>
      <c r="F771" s="2"/>
      <c r="G771" s="2"/>
      <c r="H771" s="2"/>
      <c r="I771" s="2"/>
    </row>
    <row r="772" spans="4:9" ht="13" x14ac:dyDescent="0.15">
      <c r="D772" s="2"/>
      <c r="E772" s="2"/>
      <c r="F772" s="2"/>
      <c r="G772" s="2"/>
      <c r="H772" s="2"/>
      <c r="I772" s="2"/>
    </row>
    <row r="773" spans="4:9" ht="13" x14ac:dyDescent="0.15">
      <c r="D773" s="2"/>
      <c r="E773" s="2"/>
      <c r="F773" s="2"/>
      <c r="G773" s="2"/>
      <c r="H773" s="2"/>
      <c r="I773" s="2"/>
    </row>
    <row r="774" spans="4:9" ht="13" x14ac:dyDescent="0.15">
      <c r="D774" s="2"/>
      <c r="E774" s="2"/>
      <c r="F774" s="2"/>
      <c r="G774" s="2"/>
      <c r="H774" s="2"/>
      <c r="I774" s="2"/>
    </row>
    <row r="775" spans="4:9" ht="13" x14ac:dyDescent="0.15">
      <c r="D775" s="2"/>
      <c r="E775" s="2"/>
      <c r="F775" s="2"/>
      <c r="G775" s="2"/>
      <c r="H775" s="2"/>
      <c r="I775" s="2"/>
    </row>
    <row r="776" spans="4:9" ht="13" x14ac:dyDescent="0.15">
      <c r="D776" s="2"/>
      <c r="E776" s="2"/>
      <c r="F776" s="2"/>
      <c r="G776" s="2"/>
      <c r="H776" s="2"/>
      <c r="I776" s="2"/>
    </row>
    <row r="777" spans="4:9" ht="13" x14ac:dyDescent="0.15">
      <c r="D777" s="2"/>
      <c r="E777" s="2"/>
      <c r="F777" s="2"/>
      <c r="G777" s="2"/>
      <c r="H777" s="2"/>
      <c r="I777" s="2"/>
    </row>
    <row r="778" spans="4:9" ht="13" x14ac:dyDescent="0.15">
      <c r="D778" s="2"/>
      <c r="E778" s="2"/>
      <c r="F778" s="2"/>
      <c r="G778" s="2"/>
      <c r="H778" s="2"/>
      <c r="I778" s="2"/>
    </row>
    <row r="779" spans="4:9" ht="13" x14ac:dyDescent="0.15">
      <c r="D779" s="2"/>
      <c r="E779" s="2"/>
      <c r="F779" s="2"/>
      <c r="G779" s="2"/>
      <c r="H779" s="2"/>
      <c r="I779" s="2"/>
    </row>
    <row r="780" spans="4:9" ht="13" x14ac:dyDescent="0.15">
      <c r="D780" s="2"/>
      <c r="E780" s="2"/>
      <c r="F780" s="2"/>
      <c r="G780" s="2"/>
      <c r="H780" s="2"/>
      <c r="I780" s="2"/>
    </row>
    <row r="781" spans="4:9" ht="13" x14ac:dyDescent="0.15">
      <c r="D781" s="2"/>
      <c r="E781" s="2"/>
      <c r="F781" s="2"/>
      <c r="G781" s="2"/>
      <c r="H781" s="2"/>
      <c r="I781" s="2"/>
    </row>
    <row r="782" spans="4:9" ht="13" x14ac:dyDescent="0.15">
      <c r="D782" s="2"/>
      <c r="E782" s="2"/>
      <c r="F782" s="2"/>
      <c r="G782" s="2"/>
      <c r="H782" s="2"/>
      <c r="I782" s="2"/>
    </row>
    <row r="783" spans="4:9" ht="13" x14ac:dyDescent="0.15">
      <c r="D783" s="2"/>
      <c r="E783" s="2"/>
      <c r="F783" s="2"/>
      <c r="G783" s="2"/>
      <c r="H783" s="2"/>
      <c r="I783" s="2"/>
    </row>
    <row r="784" spans="4:9" ht="13" x14ac:dyDescent="0.15">
      <c r="D784" s="2"/>
      <c r="E784" s="2"/>
      <c r="F784" s="2"/>
      <c r="G784" s="2"/>
      <c r="H784" s="2"/>
      <c r="I784" s="2"/>
    </row>
    <row r="785" spans="4:9" ht="13" x14ac:dyDescent="0.15">
      <c r="D785" s="2"/>
      <c r="E785" s="2"/>
      <c r="F785" s="2"/>
      <c r="G785" s="2"/>
      <c r="H785" s="2"/>
      <c r="I785" s="2"/>
    </row>
    <row r="786" spans="4:9" ht="13" x14ac:dyDescent="0.15">
      <c r="D786" s="2"/>
      <c r="E786" s="2"/>
      <c r="F786" s="2"/>
      <c r="G786" s="2"/>
      <c r="H786" s="2"/>
      <c r="I786" s="2"/>
    </row>
    <row r="787" spans="4:9" ht="13" x14ac:dyDescent="0.15">
      <c r="D787" s="2"/>
      <c r="E787" s="2"/>
      <c r="F787" s="2"/>
      <c r="G787" s="2"/>
      <c r="H787" s="2"/>
      <c r="I787" s="2"/>
    </row>
    <row r="788" spans="4:9" ht="13" x14ac:dyDescent="0.15">
      <c r="D788" s="2"/>
      <c r="E788" s="2"/>
      <c r="F788" s="2"/>
      <c r="G788" s="2"/>
      <c r="H788" s="2"/>
      <c r="I788" s="2"/>
    </row>
    <row r="789" spans="4:9" ht="13" x14ac:dyDescent="0.15">
      <c r="D789" s="2"/>
      <c r="E789" s="2"/>
      <c r="F789" s="2"/>
      <c r="G789" s="2"/>
      <c r="H789" s="2"/>
      <c r="I789" s="2"/>
    </row>
    <row r="790" spans="4:9" ht="13" x14ac:dyDescent="0.15">
      <c r="D790" s="2"/>
      <c r="E790" s="2"/>
      <c r="F790" s="2"/>
      <c r="G790" s="2"/>
      <c r="H790" s="2"/>
      <c r="I790" s="2"/>
    </row>
    <row r="791" spans="4:9" ht="13" x14ac:dyDescent="0.15">
      <c r="D791" s="2"/>
      <c r="E791" s="2"/>
      <c r="F791" s="2"/>
      <c r="G791" s="2"/>
      <c r="H791" s="2"/>
      <c r="I791" s="2"/>
    </row>
    <row r="792" spans="4:9" ht="13" x14ac:dyDescent="0.15">
      <c r="D792" s="2"/>
      <c r="E792" s="2"/>
      <c r="F792" s="2"/>
      <c r="G792" s="2"/>
      <c r="H792" s="2"/>
      <c r="I792" s="2"/>
    </row>
    <row r="793" spans="4:9" ht="13" x14ac:dyDescent="0.15">
      <c r="D793" s="2"/>
      <c r="E793" s="2"/>
      <c r="F793" s="2"/>
      <c r="G793" s="2"/>
      <c r="H793" s="2"/>
      <c r="I793" s="2"/>
    </row>
    <row r="794" spans="4:9" ht="13" x14ac:dyDescent="0.15">
      <c r="D794" s="2"/>
      <c r="E794" s="2"/>
      <c r="F794" s="2"/>
      <c r="G794" s="2"/>
      <c r="H794" s="2"/>
      <c r="I794" s="2"/>
    </row>
    <row r="795" spans="4:9" ht="13" x14ac:dyDescent="0.15">
      <c r="D795" s="2"/>
      <c r="E795" s="2"/>
      <c r="F795" s="2"/>
      <c r="G795" s="2"/>
      <c r="H795" s="2"/>
      <c r="I795" s="2"/>
    </row>
    <row r="796" spans="4:9" ht="13" x14ac:dyDescent="0.15">
      <c r="D796" s="2"/>
      <c r="E796" s="2"/>
      <c r="F796" s="2"/>
      <c r="G796" s="2"/>
      <c r="H796" s="2"/>
      <c r="I796" s="2"/>
    </row>
    <row r="797" spans="4:9" ht="13" x14ac:dyDescent="0.15">
      <c r="D797" s="2"/>
      <c r="E797" s="2"/>
      <c r="F797" s="2"/>
      <c r="G797" s="2"/>
      <c r="H797" s="2"/>
      <c r="I797" s="2"/>
    </row>
    <row r="798" spans="4:9" ht="13" x14ac:dyDescent="0.15">
      <c r="D798" s="2"/>
      <c r="E798" s="2"/>
      <c r="F798" s="2"/>
      <c r="G798" s="2"/>
      <c r="H798" s="2"/>
      <c r="I798" s="2"/>
    </row>
    <row r="799" spans="4:9" ht="13" x14ac:dyDescent="0.15">
      <c r="D799" s="2"/>
      <c r="E799" s="2"/>
      <c r="F799" s="2"/>
      <c r="G799" s="2"/>
      <c r="H799" s="2"/>
      <c r="I799" s="2"/>
    </row>
    <row r="800" spans="4:9" ht="13" x14ac:dyDescent="0.15">
      <c r="D800" s="2"/>
      <c r="E800" s="2"/>
      <c r="F800" s="2"/>
      <c r="G800" s="2"/>
      <c r="H800" s="2"/>
      <c r="I800" s="2"/>
    </row>
    <row r="801" spans="4:9" ht="13" x14ac:dyDescent="0.15">
      <c r="D801" s="2"/>
      <c r="E801" s="2"/>
      <c r="F801" s="2"/>
      <c r="G801" s="2"/>
      <c r="H801" s="2"/>
      <c r="I801" s="2"/>
    </row>
    <row r="802" spans="4:9" ht="13" x14ac:dyDescent="0.15">
      <c r="D802" s="2"/>
      <c r="E802" s="2"/>
      <c r="F802" s="2"/>
      <c r="G802" s="2"/>
      <c r="H802" s="2"/>
      <c r="I802" s="2"/>
    </row>
    <row r="803" spans="4:9" ht="13" x14ac:dyDescent="0.15">
      <c r="D803" s="2"/>
      <c r="E803" s="2"/>
      <c r="F803" s="2"/>
      <c r="G803" s="2"/>
      <c r="H803" s="2"/>
      <c r="I803" s="2"/>
    </row>
    <row r="804" spans="4:9" ht="13" x14ac:dyDescent="0.15">
      <c r="D804" s="2"/>
      <c r="E804" s="2"/>
      <c r="F804" s="2"/>
      <c r="G804" s="2"/>
      <c r="H804" s="2"/>
      <c r="I804" s="2"/>
    </row>
    <row r="805" spans="4:9" ht="13" x14ac:dyDescent="0.15">
      <c r="D805" s="2"/>
      <c r="E805" s="2"/>
      <c r="F805" s="2"/>
      <c r="G805" s="2"/>
      <c r="H805" s="2"/>
      <c r="I805" s="2"/>
    </row>
    <row r="806" spans="4:9" ht="13" x14ac:dyDescent="0.15">
      <c r="D806" s="2"/>
      <c r="E806" s="2"/>
      <c r="F806" s="2"/>
      <c r="G806" s="2"/>
      <c r="H806" s="2"/>
      <c r="I806" s="2"/>
    </row>
    <row r="807" spans="4:9" ht="13" x14ac:dyDescent="0.15">
      <c r="D807" s="2"/>
      <c r="E807" s="2"/>
      <c r="F807" s="2"/>
      <c r="G807" s="2"/>
      <c r="H807" s="2"/>
      <c r="I807" s="2"/>
    </row>
    <row r="808" spans="4:9" ht="13" x14ac:dyDescent="0.15">
      <c r="D808" s="2"/>
      <c r="E808" s="2"/>
      <c r="F808" s="2"/>
      <c r="G808" s="2"/>
      <c r="H808" s="2"/>
      <c r="I808" s="2"/>
    </row>
    <row r="809" spans="4:9" ht="13" x14ac:dyDescent="0.15">
      <c r="D809" s="2"/>
      <c r="E809" s="2"/>
      <c r="F809" s="2"/>
      <c r="G809" s="2"/>
      <c r="H809" s="2"/>
      <c r="I809" s="2"/>
    </row>
    <row r="810" spans="4:9" ht="13" x14ac:dyDescent="0.15">
      <c r="D810" s="2"/>
      <c r="E810" s="2"/>
      <c r="F810" s="2"/>
      <c r="G810" s="2"/>
      <c r="H810" s="2"/>
      <c r="I810" s="2"/>
    </row>
    <row r="811" spans="4:9" ht="13" x14ac:dyDescent="0.15">
      <c r="D811" s="2"/>
      <c r="E811" s="2"/>
      <c r="F811" s="2"/>
      <c r="G811" s="2"/>
      <c r="H811" s="2"/>
      <c r="I811" s="2"/>
    </row>
    <row r="812" spans="4:9" ht="13" x14ac:dyDescent="0.15">
      <c r="D812" s="2"/>
      <c r="E812" s="2"/>
      <c r="F812" s="2"/>
      <c r="G812" s="2"/>
      <c r="H812" s="2"/>
      <c r="I812" s="2"/>
    </row>
    <row r="813" spans="4:9" ht="13" x14ac:dyDescent="0.15">
      <c r="D813" s="2"/>
      <c r="E813" s="2"/>
      <c r="F813" s="2"/>
      <c r="G813" s="2"/>
      <c r="H813" s="2"/>
      <c r="I813" s="2"/>
    </row>
    <row r="814" spans="4:9" ht="13" x14ac:dyDescent="0.15">
      <c r="D814" s="2"/>
      <c r="E814" s="2"/>
      <c r="F814" s="2"/>
      <c r="G814" s="2"/>
      <c r="H814" s="2"/>
      <c r="I814" s="2"/>
    </row>
    <row r="815" spans="4:9" ht="13" x14ac:dyDescent="0.15">
      <c r="D815" s="2"/>
      <c r="E815" s="2"/>
      <c r="F815" s="2"/>
      <c r="G815" s="2"/>
      <c r="H815" s="2"/>
      <c r="I815" s="2"/>
    </row>
    <row r="816" spans="4:9" ht="13" x14ac:dyDescent="0.15">
      <c r="D816" s="2"/>
      <c r="E816" s="2"/>
      <c r="F816" s="2"/>
      <c r="G816" s="2"/>
      <c r="H816" s="2"/>
      <c r="I816" s="2"/>
    </row>
    <row r="817" spans="4:9" ht="13" x14ac:dyDescent="0.15">
      <c r="D817" s="2"/>
      <c r="E817" s="2"/>
      <c r="F817" s="2"/>
      <c r="G817" s="2"/>
      <c r="H817" s="2"/>
      <c r="I817" s="2"/>
    </row>
    <row r="818" spans="4:9" ht="13" x14ac:dyDescent="0.15">
      <c r="D818" s="2"/>
      <c r="E818" s="2"/>
      <c r="F818" s="2"/>
      <c r="G818" s="2"/>
      <c r="H818" s="2"/>
      <c r="I818" s="2"/>
    </row>
    <row r="819" spans="4:9" ht="13" x14ac:dyDescent="0.15">
      <c r="D819" s="2"/>
      <c r="E819" s="2"/>
      <c r="F819" s="2"/>
      <c r="G819" s="2"/>
      <c r="H819" s="2"/>
      <c r="I819" s="2"/>
    </row>
    <row r="820" spans="4:9" ht="13" x14ac:dyDescent="0.15">
      <c r="D820" s="2"/>
      <c r="E820" s="2"/>
      <c r="F820" s="2"/>
      <c r="G820" s="2"/>
      <c r="H820" s="2"/>
      <c r="I820" s="2"/>
    </row>
    <row r="821" spans="4:9" ht="13" x14ac:dyDescent="0.15">
      <c r="D821" s="2"/>
      <c r="E821" s="2"/>
      <c r="F821" s="2"/>
      <c r="G821" s="2"/>
      <c r="H821" s="2"/>
      <c r="I821" s="2"/>
    </row>
    <row r="822" spans="4:9" ht="13" x14ac:dyDescent="0.15">
      <c r="D822" s="2"/>
      <c r="E822" s="2"/>
      <c r="F822" s="2"/>
      <c r="G822" s="2"/>
      <c r="H822" s="2"/>
      <c r="I822" s="2"/>
    </row>
    <row r="823" spans="4:9" ht="13" x14ac:dyDescent="0.15">
      <c r="D823" s="2"/>
      <c r="E823" s="2"/>
      <c r="F823" s="2"/>
      <c r="G823" s="2"/>
      <c r="H823" s="2"/>
      <c r="I823" s="2"/>
    </row>
    <row r="824" spans="4:9" ht="13" x14ac:dyDescent="0.15">
      <c r="D824" s="2"/>
      <c r="E824" s="2"/>
      <c r="F824" s="2"/>
      <c r="G824" s="2"/>
      <c r="H824" s="2"/>
      <c r="I824" s="2"/>
    </row>
    <row r="825" spans="4:9" ht="13" x14ac:dyDescent="0.15">
      <c r="D825" s="2"/>
      <c r="E825" s="2"/>
      <c r="F825" s="2"/>
      <c r="G825" s="2"/>
      <c r="H825" s="2"/>
      <c r="I825" s="2"/>
    </row>
    <row r="826" spans="4:9" ht="13" x14ac:dyDescent="0.15">
      <c r="D826" s="2"/>
      <c r="E826" s="2"/>
      <c r="F826" s="2"/>
      <c r="G826" s="2"/>
      <c r="H826" s="2"/>
      <c r="I826" s="2"/>
    </row>
    <row r="827" spans="4:9" ht="13" x14ac:dyDescent="0.15">
      <c r="D827" s="2"/>
      <c r="E827" s="2"/>
      <c r="F827" s="2"/>
      <c r="G827" s="2"/>
      <c r="H827" s="2"/>
      <c r="I827" s="2"/>
    </row>
    <row r="828" spans="4:9" ht="13" x14ac:dyDescent="0.15">
      <c r="D828" s="2"/>
      <c r="E828" s="2"/>
      <c r="F828" s="2"/>
      <c r="G828" s="2"/>
      <c r="H828" s="2"/>
      <c r="I828" s="2"/>
    </row>
    <row r="829" spans="4:9" ht="13" x14ac:dyDescent="0.15">
      <c r="D829" s="2"/>
      <c r="E829" s="2"/>
      <c r="F829" s="2"/>
      <c r="G829" s="2"/>
      <c r="H829" s="2"/>
      <c r="I829" s="2"/>
    </row>
    <row r="830" spans="4:9" ht="13" x14ac:dyDescent="0.15">
      <c r="D830" s="2"/>
      <c r="E830" s="2"/>
      <c r="F830" s="2"/>
      <c r="G830" s="2"/>
      <c r="H830" s="2"/>
      <c r="I830" s="2"/>
    </row>
    <row r="831" spans="4:9" ht="13" x14ac:dyDescent="0.15">
      <c r="D831" s="2"/>
      <c r="E831" s="2"/>
      <c r="F831" s="2"/>
      <c r="G831" s="2"/>
      <c r="H831" s="2"/>
      <c r="I831" s="2"/>
    </row>
    <row r="832" spans="4:9" ht="13" x14ac:dyDescent="0.15">
      <c r="D832" s="2"/>
      <c r="E832" s="2"/>
      <c r="F832" s="2"/>
      <c r="G832" s="2"/>
      <c r="H832" s="2"/>
      <c r="I832" s="2"/>
    </row>
    <row r="833" spans="4:9" ht="13" x14ac:dyDescent="0.15">
      <c r="D833" s="2"/>
      <c r="E833" s="2"/>
      <c r="F833" s="2"/>
      <c r="G833" s="2"/>
      <c r="H833" s="2"/>
      <c r="I833" s="2"/>
    </row>
    <row r="834" spans="4:9" ht="13" x14ac:dyDescent="0.15">
      <c r="D834" s="2"/>
      <c r="E834" s="2"/>
      <c r="F834" s="2"/>
      <c r="G834" s="2"/>
      <c r="H834" s="2"/>
      <c r="I834" s="2"/>
    </row>
    <row r="835" spans="4:9" ht="13" x14ac:dyDescent="0.15">
      <c r="D835" s="2"/>
      <c r="E835" s="2"/>
      <c r="F835" s="2"/>
      <c r="G835" s="2"/>
      <c r="H835" s="2"/>
      <c r="I835" s="2"/>
    </row>
    <row r="836" spans="4:9" ht="13" x14ac:dyDescent="0.15">
      <c r="D836" s="2"/>
      <c r="E836" s="2"/>
      <c r="F836" s="2"/>
      <c r="G836" s="2"/>
      <c r="H836" s="2"/>
      <c r="I836" s="2"/>
    </row>
    <row r="837" spans="4:9" ht="13" x14ac:dyDescent="0.15">
      <c r="D837" s="2"/>
      <c r="E837" s="2"/>
      <c r="F837" s="2"/>
      <c r="G837" s="2"/>
      <c r="H837" s="2"/>
      <c r="I837" s="2"/>
    </row>
    <row r="838" spans="4:9" ht="13" x14ac:dyDescent="0.15">
      <c r="D838" s="2"/>
      <c r="E838" s="2"/>
      <c r="F838" s="2"/>
      <c r="G838" s="2"/>
      <c r="H838" s="2"/>
      <c r="I838" s="2"/>
    </row>
    <row r="839" spans="4:9" ht="13" x14ac:dyDescent="0.15">
      <c r="D839" s="2"/>
      <c r="E839" s="2"/>
      <c r="F839" s="2"/>
      <c r="G839" s="2"/>
      <c r="H839" s="2"/>
      <c r="I839" s="2"/>
    </row>
    <row r="840" spans="4:9" ht="13" x14ac:dyDescent="0.15">
      <c r="D840" s="2"/>
      <c r="E840" s="2"/>
      <c r="F840" s="2"/>
      <c r="G840" s="2"/>
      <c r="H840" s="2"/>
      <c r="I840" s="2"/>
    </row>
    <row r="841" spans="4:9" ht="13" x14ac:dyDescent="0.15">
      <c r="D841" s="2"/>
      <c r="E841" s="2"/>
      <c r="F841" s="2"/>
      <c r="G841" s="2"/>
      <c r="H841" s="2"/>
      <c r="I841" s="2"/>
    </row>
    <row r="842" spans="4:9" ht="13" x14ac:dyDescent="0.15">
      <c r="D842" s="2"/>
      <c r="E842" s="2"/>
      <c r="F842" s="2"/>
      <c r="G842" s="2"/>
      <c r="H842" s="2"/>
      <c r="I842" s="2"/>
    </row>
    <row r="843" spans="4:9" ht="13" x14ac:dyDescent="0.15">
      <c r="D843" s="2"/>
      <c r="E843" s="2"/>
      <c r="F843" s="2"/>
      <c r="G843" s="2"/>
      <c r="H843" s="2"/>
      <c r="I843" s="2"/>
    </row>
    <row r="844" spans="4:9" ht="13" x14ac:dyDescent="0.15">
      <c r="D844" s="2"/>
      <c r="E844" s="2"/>
      <c r="F844" s="2"/>
      <c r="G844" s="2"/>
      <c r="H844" s="2"/>
      <c r="I844" s="2"/>
    </row>
    <row r="845" spans="4:9" ht="13" x14ac:dyDescent="0.15">
      <c r="D845" s="2"/>
      <c r="E845" s="2"/>
      <c r="F845" s="2"/>
      <c r="G845" s="2"/>
      <c r="H845" s="2"/>
      <c r="I845" s="2"/>
    </row>
    <row r="846" spans="4:9" ht="13" x14ac:dyDescent="0.15">
      <c r="D846" s="2"/>
      <c r="E846" s="2"/>
      <c r="F846" s="2"/>
      <c r="G846" s="2"/>
      <c r="H846" s="2"/>
      <c r="I846" s="2"/>
    </row>
    <row r="847" spans="4:9" ht="13" x14ac:dyDescent="0.15">
      <c r="D847" s="2"/>
      <c r="E847" s="2"/>
      <c r="F847" s="2"/>
      <c r="G847" s="2"/>
      <c r="H847" s="2"/>
      <c r="I847" s="2"/>
    </row>
    <row r="848" spans="4:9" ht="13" x14ac:dyDescent="0.15">
      <c r="D848" s="2"/>
      <c r="E848" s="2"/>
      <c r="F848" s="2"/>
      <c r="G848" s="2"/>
      <c r="H848" s="2"/>
      <c r="I848" s="2"/>
    </row>
    <row r="849" spans="4:9" ht="13" x14ac:dyDescent="0.15">
      <c r="D849" s="2"/>
      <c r="E849" s="2"/>
      <c r="F849" s="2"/>
      <c r="G849" s="2"/>
      <c r="H849" s="2"/>
      <c r="I849" s="2"/>
    </row>
    <row r="850" spans="4:9" ht="13" x14ac:dyDescent="0.15">
      <c r="D850" s="2"/>
      <c r="E850" s="2"/>
      <c r="F850" s="2"/>
      <c r="G850" s="2"/>
      <c r="H850" s="2"/>
      <c r="I850" s="2"/>
    </row>
    <row r="851" spans="4:9" ht="13" x14ac:dyDescent="0.15">
      <c r="D851" s="2"/>
      <c r="E851" s="2"/>
      <c r="F851" s="2"/>
      <c r="G851" s="2"/>
      <c r="H851" s="2"/>
      <c r="I851" s="2"/>
    </row>
    <row r="852" spans="4:9" ht="13" x14ac:dyDescent="0.15">
      <c r="D852" s="2"/>
      <c r="E852" s="2"/>
      <c r="F852" s="2"/>
      <c r="G852" s="2"/>
      <c r="H852" s="2"/>
      <c r="I852" s="2"/>
    </row>
    <row r="853" spans="4:9" ht="13" x14ac:dyDescent="0.15">
      <c r="D853" s="2"/>
      <c r="E853" s="2"/>
      <c r="F853" s="2"/>
      <c r="G853" s="2"/>
      <c r="H853" s="2"/>
      <c r="I853" s="2"/>
    </row>
    <row r="854" spans="4:9" ht="13" x14ac:dyDescent="0.15">
      <c r="D854" s="2"/>
      <c r="E854" s="2"/>
      <c r="F854" s="2"/>
      <c r="G854" s="2"/>
      <c r="H854" s="2"/>
      <c r="I854" s="2"/>
    </row>
    <row r="855" spans="4:9" ht="13" x14ac:dyDescent="0.15">
      <c r="D855" s="2"/>
      <c r="E855" s="2"/>
      <c r="F855" s="2"/>
      <c r="G855" s="2"/>
      <c r="H855" s="2"/>
      <c r="I855" s="2"/>
    </row>
    <row r="856" spans="4:9" ht="13" x14ac:dyDescent="0.15">
      <c r="D856" s="2"/>
      <c r="E856" s="2"/>
      <c r="F856" s="2"/>
      <c r="G856" s="2"/>
      <c r="H856" s="2"/>
      <c r="I856" s="2"/>
    </row>
    <row r="857" spans="4:9" ht="13" x14ac:dyDescent="0.15">
      <c r="D857" s="2"/>
      <c r="E857" s="2"/>
      <c r="F857" s="2"/>
      <c r="G857" s="2"/>
      <c r="H857" s="2"/>
      <c r="I857" s="2"/>
    </row>
    <row r="858" spans="4:9" ht="13" x14ac:dyDescent="0.15">
      <c r="D858" s="2"/>
      <c r="E858" s="2"/>
      <c r="F858" s="2"/>
      <c r="G858" s="2"/>
      <c r="H858" s="2"/>
      <c r="I858" s="2"/>
    </row>
    <row r="859" spans="4:9" ht="13" x14ac:dyDescent="0.15">
      <c r="D859" s="2"/>
      <c r="E859" s="2"/>
      <c r="F859" s="2"/>
      <c r="G859" s="2"/>
      <c r="H859" s="2"/>
      <c r="I859" s="2"/>
    </row>
    <row r="860" spans="4:9" ht="13" x14ac:dyDescent="0.15">
      <c r="D860" s="2"/>
      <c r="E860" s="2"/>
      <c r="F860" s="2"/>
      <c r="G860" s="2"/>
      <c r="H860" s="2"/>
      <c r="I860" s="2"/>
    </row>
    <row r="861" spans="4:9" ht="13" x14ac:dyDescent="0.15">
      <c r="D861" s="2"/>
      <c r="E861" s="2"/>
      <c r="F861" s="2"/>
      <c r="G861" s="2"/>
      <c r="H861" s="2"/>
      <c r="I861" s="2"/>
    </row>
    <row r="862" spans="4:9" ht="13" x14ac:dyDescent="0.15">
      <c r="D862" s="2"/>
      <c r="E862" s="2"/>
      <c r="F862" s="2"/>
      <c r="G862" s="2"/>
      <c r="H862" s="2"/>
      <c r="I862" s="2"/>
    </row>
    <row r="863" spans="4:9" ht="13" x14ac:dyDescent="0.15">
      <c r="D863" s="2"/>
      <c r="E863" s="2"/>
      <c r="F863" s="2"/>
      <c r="G863" s="2"/>
      <c r="H863" s="2"/>
      <c r="I863" s="2"/>
    </row>
    <row r="864" spans="4:9" ht="13" x14ac:dyDescent="0.15">
      <c r="D864" s="2"/>
      <c r="E864" s="2"/>
      <c r="F864" s="2"/>
      <c r="G864" s="2"/>
      <c r="H864" s="2"/>
      <c r="I864" s="2"/>
    </row>
    <row r="865" spans="4:9" ht="13" x14ac:dyDescent="0.15">
      <c r="D865" s="2"/>
      <c r="E865" s="2"/>
      <c r="F865" s="2"/>
      <c r="G865" s="2"/>
      <c r="H865" s="2"/>
      <c r="I865" s="2"/>
    </row>
    <row r="866" spans="4:9" ht="13" x14ac:dyDescent="0.15">
      <c r="D866" s="2"/>
      <c r="E866" s="2"/>
      <c r="F866" s="2"/>
      <c r="G866" s="2"/>
      <c r="H866" s="2"/>
      <c r="I866" s="2"/>
    </row>
    <row r="867" spans="4:9" ht="13" x14ac:dyDescent="0.15">
      <c r="D867" s="2"/>
      <c r="E867" s="2"/>
      <c r="F867" s="2"/>
      <c r="G867" s="2"/>
      <c r="H867" s="2"/>
      <c r="I867" s="2"/>
    </row>
    <row r="868" spans="4:9" ht="13" x14ac:dyDescent="0.15">
      <c r="D868" s="2"/>
      <c r="E868" s="2"/>
      <c r="F868" s="2"/>
      <c r="G868" s="2"/>
      <c r="H868" s="2"/>
      <c r="I868" s="2"/>
    </row>
    <row r="869" spans="4:9" ht="13" x14ac:dyDescent="0.15">
      <c r="D869" s="2"/>
      <c r="E869" s="2"/>
      <c r="F869" s="2"/>
      <c r="G869" s="2"/>
      <c r="H869" s="2"/>
      <c r="I869" s="2"/>
    </row>
    <row r="870" spans="4:9" ht="13" x14ac:dyDescent="0.15">
      <c r="D870" s="2"/>
      <c r="E870" s="2"/>
      <c r="F870" s="2"/>
      <c r="G870" s="2"/>
      <c r="H870" s="2"/>
      <c r="I870" s="2"/>
    </row>
    <row r="871" spans="4:9" ht="13" x14ac:dyDescent="0.15">
      <c r="D871" s="2"/>
      <c r="E871" s="2"/>
      <c r="F871" s="2"/>
      <c r="G871" s="2"/>
      <c r="H871" s="2"/>
      <c r="I871" s="2"/>
    </row>
    <row r="872" spans="4:9" ht="13" x14ac:dyDescent="0.15">
      <c r="D872" s="2"/>
      <c r="E872" s="2"/>
      <c r="F872" s="2"/>
      <c r="G872" s="2"/>
      <c r="H872" s="2"/>
      <c r="I872" s="2"/>
    </row>
    <row r="873" spans="4:9" ht="13" x14ac:dyDescent="0.15">
      <c r="D873" s="2"/>
      <c r="E873" s="2"/>
      <c r="F873" s="2"/>
      <c r="G873" s="2"/>
      <c r="H873" s="2"/>
      <c r="I873" s="2"/>
    </row>
    <row r="874" spans="4:9" ht="13" x14ac:dyDescent="0.15">
      <c r="D874" s="2"/>
      <c r="E874" s="2"/>
      <c r="F874" s="2"/>
      <c r="G874" s="2"/>
      <c r="H874" s="2"/>
      <c r="I874" s="2"/>
    </row>
    <row r="875" spans="4:9" ht="13" x14ac:dyDescent="0.15">
      <c r="D875" s="2"/>
      <c r="E875" s="2"/>
      <c r="F875" s="2"/>
      <c r="G875" s="2"/>
      <c r="H875" s="2"/>
      <c r="I875" s="2"/>
    </row>
    <row r="876" spans="4:9" ht="13" x14ac:dyDescent="0.15">
      <c r="D876" s="2"/>
      <c r="E876" s="2"/>
      <c r="F876" s="2"/>
      <c r="G876" s="2"/>
      <c r="H876" s="2"/>
      <c r="I876" s="2"/>
    </row>
    <row r="877" spans="4:9" ht="13" x14ac:dyDescent="0.15">
      <c r="D877" s="2"/>
      <c r="E877" s="2"/>
      <c r="F877" s="2"/>
      <c r="G877" s="2"/>
      <c r="H877" s="2"/>
      <c r="I877" s="2"/>
    </row>
    <row r="878" spans="4:9" ht="13" x14ac:dyDescent="0.15">
      <c r="D878" s="2"/>
      <c r="E878" s="2"/>
      <c r="F878" s="2"/>
      <c r="G878" s="2"/>
      <c r="H878" s="2"/>
      <c r="I878" s="2"/>
    </row>
    <row r="879" spans="4:9" ht="13" x14ac:dyDescent="0.15">
      <c r="D879" s="2"/>
      <c r="E879" s="2"/>
      <c r="F879" s="2"/>
      <c r="G879" s="2"/>
      <c r="H879" s="2"/>
      <c r="I879" s="2"/>
    </row>
    <row r="880" spans="4:9" ht="13" x14ac:dyDescent="0.15">
      <c r="D880" s="2"/>
      <c r="E880" s="2"/>
      <c r="F880" s="2"/>
      <c r="G880" s="2"/>
      <c r="H880" s="2"/>
      <c r="I880" s="2"/>
    </row>
    <row r="881" spans="4:9" ht="13" x14ac:dyDescent="0.15">
      <c r="D881" s="2"/>
      <c r="E881" s="2"/>
      <c r="F881" s="2"/>
      <c r="G881" s="2"/>
      <c r="H881" s="2"/>
      <c r="I881" s="2"/>
    </row>
    <row r="882" spans="4:9" ht="13" x14ac:dyDescent="0.15">
      <c r="D882" s="2"/>
      <c r="E882" s="2"/>
      <c r="F882" s="2"/>
      <c r="G882" s="2"/>
      <c r="H882" s="2"/>
      <c r="I882" s="2"/>
    </row>
    <row r="883" spans="4:9" ht="13" x14ac:dyDescent="0.15">
      <c r="D883" s="2"/>
      <c r="E883" s="2"/>
      <c r="F883" s="2"/>
      <c r="G883" s="2"/>
      <c r="H883" s="2"/>
      <c r="I883" s="2"/>
    </row>
    <row r="884" spans="4:9" ht="13" x14ac:dyDescent="0.15">
      <c r="D884" s="2"/>
      <c r="E884" s="2"/>
      <c r="F884" s="2"/>
      <c r="G884" s="2"/>
      <c r="H884" s="2"/>
      <c r="I884" s="2"/>
    </row>
    <row r="885" spans="4:9" ht="13" x14ac:dyDescent="0.15">
      <c r="D885" s="2"/>
      <c r="E885" s="2"/>
      <c r="F885" s="2"/>
      <c r="G885" s="2"/>
      <c r="H885" s="2"/>
      <c r="I885" s="2"/>
    </row>
    <row r="886" spans="4:9" ht="13" x14ac:dyDescent="0.15">
      <c r="D886" s="2"/>
      <c r="E886" s="2"/>
      <c r="F886" s="2"/>
      <c r="G886" s="2"/>
      <c r="H886" s="2"/>
      <c r="I886" s="2"/>
    </row>
    <row r="887" spans="4:9" ht="13" x14ac:dyDescent="0.15">
      <c r="D887" s="2"/>
      <c r="E887" s="2"/>
      <c r="F887" s="2"/>
      <c r="G887" s="2"/>
      <c r="H887" s="2"/>
      <c r="I887" s="2"/>
    </row>
    <row r="888" spans="4:9" ht="13" x14ac:dyDescent="0.15">
      <c r="D888" s="2"/>
      <c r="E888" s="2"/>
      <c r="F888" s="2"/>
      <c r="G888" s="2"/>
      <c r="H888" s="2"/>
      <c r="I888" s="2"/>
    </row>
    <row r="889" spans="4:9" ht="13" x14ac:dyDescent="0.15">
      <c r="D889" s="2"/>
      <c r="E889" s="2"/>
      <c r="F889" s="2"/>
      <c r="G889" s="2"/>
      <c r="H889" s="2"/>
      <c r="I889" s="2"/>
    </row>
    <row r="890" spans="4:9" ht="13" x14ac:dyDescent="0.15">
      <c r="D890" s="2"/>
      <c r="E890" s="2"/>
      <c r="F890" s="2"/>
      <c r="G890" s="2"/>
      <c r="H890" s="2"/>
      <c r="I890" s="2"/>
    </row>
    <row r="891" spans="4:9" ht="13" x14ac:dyDescent="0.15">
      <c r="D891" s="2"/>
      <c r="E891" s="2"/>
      <c r="F891" s="2"/>
      <c r="G891" s="2"/>
      <c r="H891" s="2"/>
      <c r="I891" s="2"/>
    </row>
    <row r="892" spans="4:9" ht="13" x14ac:dyDescent="0.15">
      <c r="D892" s="2"/>
      <c r="E892" s="2"/>
      <c r="F892" s="2"/>
      <c r="G892" s="2"/>
      <c r="H892" s="2"/>
      <c r="I892" s="2"/>
    </row>
    <row r="893" spans="4:9" ht="13" x14ac:dyDescent="0.15">
      <c r="D893" s="2"/>
      <c r="E893" s="2"/>
      <c r="F893" s="2"/>
      <c r="G893" s="2"/>
      <c r="H893" s="2"/>
      <c r="I893" s="2"/>
    </row>
    <row r="894" spans="4:9" ht="13" x14ac:dyDescent="0.15">
      <c r="D894" s="2"/>
      <c r="E894" s="2"/>
      <c r="F894" s="2"/>
      <c r="G894" s="2"/>
      <c r="H894" s="2"/>
      <c r="I894" s="2"/>
    </row>
    <row r="895" spans="4:9" ht="13" x14ac:dyDescent="0.15">
      <c r="D895" s="2"/>
      <c r="E895" s="2"/>
      <c r="F895" s="2"/>
      <c r="G895" s="2"/>
      <c r="H895" s="2"/>
      <c r="I895" s="2"/>
    </row>
    <row r="896" spans="4:9" ht="13" x14ac:dyDescent="0.15">
      <c r="D896" s="2"/>
      <c r="E896" s="2"/>
      <c r="F896" s="2"/>
      <c r="G896" s="2"/>
      <c r="H896" s="2"/>
      <c r="I896" s="2"/>
    </row>
    <row r="897" spans="4:9" ht="13" x14ac:dyDescent="0.15">
      <c r="D897" s="2"/>
      <c r="E897" s="2"/>
      <c r="F897" s="2"/>
      <c r="G897" s="2"/>
      <c r="H897" s="2"/>
      <c r="I897" s="2"/>
    </row>
    <row r="898" spans="4:9" ht="13" x14ac:dyDescent="0.15">
      <c r="D898" s="2"/>
      <c r="E898" s="2"/>
      <c r="F898" s="2"/>
      <c r="G898" s="2"/>
      <c r="H898" s="2"/>
      <c r="I898" s="2"/>
    </row>
    <row r="899" spans="4:9" ht="13" x14ac:dyDescent="0.15">
      <c r="D899" s="2"/>
      <c r="E899" s="2"/>
      <c r="F899" s="2"/>
      <c r="G899" s="2"/>
      <c r="H899" s="2"/>
      <c r="I899" s="2"/>
    </row>
    <row r="900" spans="4:9" ht="13" x14ac:dyDescent="0.15">
      <c r="D900" s="2"/>
      <c r="E900" s="2"/>
      <c r="F900" s="2"/>
      <c r="G900" s="2"/>
      <c r="H900" s="2"/>
      <c r="I900" s="2"/>
    </row>
    <row r="901" spans="4:9" ht="13" x14ac:dyDescent="0.15">
      <c r="D901" s="2"/>
      <c r="E901" s="2"/>
      <c r="F901" s="2"/>
      <c r="G901" s="2"/>
      <c r="H901" s="2"/>
      <c r="I901" s="2"/>
    </row>
    <row r="902" spans="4:9" ht="13" x14ac:dyDescent="0.15">
      <c r="D902" s="2"/>
      <c r="E902" s="2"/>
      <c r="F902" s="2"/>
      <c r="G902" s="2"/>
      <c r="H902" s="2"/>
      <c r="I902" s="2"/>
    </row>
    <row r="903" spans="4:9" ht="13" x14ac:dyDescent="0.15">
      <c r="D903" s="2"/>
      <c r="E903" s="2"/>
      <c r="F903" s="2"/>
      <c r="G903" s="2"/>
      <c r="H903" s="2"/>
      <c r="I903" s="2"/>
    </row>
    <row r="904" spans="4:9" ht="13" x14ac:dyDescent="0.15">
      <c r="D904" s="2"/>
      <c r="E904" s="2"/>
      <c r="F904" s="2"/>
      <c r="G904" s="2"/>
      <c r="H904" s="2"/>
      <c r="I904" s="2"/>
    </row>
    <row r="905" spans="4:9" ht="13" x14ac:dyDescent="0.15">
      <c r="D905" s="2"/>
      <c r="E905" s="2"/>
      <c r="F905" s="2"/>
      <c r="G905" s="2"/>
      <c r="H905" s="2"/>
      <c r="I905" s="2"/>
    </row>
    <row r="906" spans="4:9" ht="13" x14ac:dyDescent="0.15">
      <c r="D906" s="2"/>
      <c r="E906" s="2"/>
      <c r="F906" s="2"/>
      <c r="G906" s="2"/>
      <c r="H906" s="2"/>
      <c r="I906" s="2"/>
    </row>
    <row r="907" spans="4:9" ht="13" x14ac:dyDescent="0.15">
      <c r="D907" s="2"/>
      <c r="E907" s="2"/>
      <c r="F907" s="2"/>
      <c r="G907" s="2"/>
      <c r="H907" s="2"/>
      <c r="I907" s="2"/>
    </row>
    <row r="908" spans="4:9" ht="13" x14ac:dyDescent="0.15">
      <c r="D908" s="2"/>
      <c r="E908" s="2"/>
      <c r="F908" s="2"/>
      <c r="G908" s="2"/>
      <c r="H908" s="2"/>
      <c r="I908" s="2"/>
    </row>
    <row r="909" spans="4:9" ht="13" x14ac:dyDescent="0.15">
      <c r="D909" s="2"/>
      <c r="E909" s="2"/>
      <c r="F909" s="2"/>
      <c r="G909" s="2"/>
      <c r="H909" s="2"/>
      <c r="I909" s="2"/>
    </row>
    <row r="910" spans="4:9" ht="13" x14ac:dyDescent="0.15">
      <c r="D910" s="2"/>
      <c r="E910" s="2"/>
      <c r="F910" s="2"/>
      <c r="G910" s="2"/>
      <c r="H910" s="2"/>
      <c r="I910" s="2"/>
    </row>
    <row r="911" spans="4:9" ht="13" x14ac:dyDescent="0.15">
      <c r="D911" s="2"/>
      <c r="E911" s="2"/>
      <c r="F911" s="2"/>
      <c r="G911" s="2"/>
      <c r="H911" s="2"/>
      <c r="I911" s="2"/>
    </row>
    <row r="912" spans="4:9" ht="13" x14ac:dyDescent="0.15">
      <c r="D912" s="2"/>
      <c r="E912" s="2"/>
      <c r="F912" s="2"/>
      <c r="G912" s="2"/>
      <c r="H912" s="2"/>
      <c r="I912" s="2"/>
    </row>
    <row r="913" spans="4:9" ht="13" x14ac:dyDescent="0.15">
      <c r="D913" s="2"/>
      <c r="E913" s="2"/>
      <c r="F913" s="2"/>
      <c r="G913" s="2"/>
      <c r="H913" s="2"/>
      <c r="I913" s="2"/>
    </row>
    <row r="914" spans="4:9" ht="13" x14ac:dyDescent="0.15">
      <c r="D914" s="2"/>
      <c r="E914" s="2"/>
      <c r="F914" s="2"/>
      <c r="G914" s="2"/>
      <c r="H914" s="2"/>
      <c r="I914" s="2"/>
    </row>
    <row r="915" spans="4:9" ht="13" x14ac:dyDescent="0.15">
      <c r="D915" s="2"/>
      <c r="E915" s="2"/>
      <c r="F915" s="2"/>
      <c r="G915" s="2"/>
      <c r="H915" s="2"/>
      <c r="I915" s="2"/>
    </row>
    <row r="916" spans="4:9" ht="13" x14ac:dyDescent="0.15">
      <c r="D916" s="2"/>
      <c r="E916" s="2"/>
      <c r="F916" s="2"/>
      <c r="G916" s="2"/>
      <c r="H916" s="2"/>
      <c r="I916" s="2"/>
    </row>
    <row r="917" spans="4:9" ht="13" x14ac:dyDescent="0.15">
      <c r="D917" s="2"/>
      <c r="E917" s="2"/>
      <c r="F917" s="2"/>
      <c r="G917" s="2"/>
      <c r="H917" s="2"/>
      <c r="I917" s="2"/>
    </row>
    <row r="918" spans="4:9" ht="13" x14ac:dyDescent="0.15">
      <c r="D918" s="2"/>
      <c r="E918" s="2"/>
      <c r="F918" s="2"/>
      <c r="G918" s="2"/>
      <c r="H918" s="2"/>
      <c r="I918" s="2"/>
    </row>
    <row r="919" spans="4:9" ht="13" x14ac:dyDescent="0.15">
      <c r="D919" s="2"/>
      <c r="E919" s="2"/>
      <c r="F919" s="2"/>
      <c r="G919" s="2"/>
      <c r="H919" s="2"/>
      <c r="I919" s="2"/>
    </row>
    <row r="920" spans="4:9" ht="13" x14ac:dyDescent="0.15">
      <c r="D920" s="2"/>
      <c r="E920" s="2"/>
      <c r="F920" s="2"/>
      <c r="G920" s="2"/>
      <c r="H920" s="2"/>
      <c r="I920" s="2"/>
    </row>
    <row r="921" spans="4:9" ht="13" x14ac:dyDescent="0.15">
      <c r="D921" s="2"/>
      <c r="E921" s="2"/>
      <c r="F921" s="2"/>
      <c r="G921" s="2"/>
      <c r="H921" s="2"/>
      <c r="I921" s="2"/>
    </row>
    <row r="922" spans="4:9" ht="13" x14ac:dyDescent="0.15">
      <c r="D922" s="2"/>
      <c r="E922" s="2"/>
      <c r="F922" s="2"/>
      <c r="G922" s="2"/>
      <c r="H922" s="2"/>
      <c r="I922" s="2"/>
    </row>
    <row r="923" spans="4:9" ht="13" x14ac:dyDescent="0.15">
      <c r="D923" s="2"/>
      <c r="E923" s="2"/>
      <c r="F923" s="2"/>
      <c r="G923" s="2"/>
      <c r="H923" s="2"/>
      <c r="I923" s="2"/>
    </row>
    <row r="924" spans="4:9" ht="13" x14ac:dyDescent="0.15">
      <c r="D924" s="2"/>
      <c r="E924" s="2"/>
      <c r="F924" s="2"/>
      <c r="G924" s="2"/>
      <c r="H924" s="2"/>
      <c r="I924" s="2"/>
    </row>
    <row r="925" spans="4:9" ht="13" x14ac:dyDescent="0.15">
      <c r="D925" s="2"/>
      <c r="E925" s="2"/>
      <c r="F925" s="2"/>
      <c r="G925" s="2"/>
      <c r="H925" s="2"/>
      <c r="I925" s="2"/>
    </row>
    <row r="926" spans="4:9" ht="13" x14ac:dyDescent="0.15">
      <c r="D926" s="2"/>
      <c r="E926" s="2"/>
      <c r="F926" s="2"/>
      <c r="G926" s="2"/>
      <c r="H926" s="2"/>
      <c r="I926" s="2"/>
    </row>
    <row r="927" spans="4:9" ht="13" x14ac:dyDescent="0.15">
      <c r="D927" s="2"/>
      <c r="E927" s="2"/>
      <c r="F927" s="2"/>
      <c r="G927" s="2"/>
      <c r="H927" s="2"/>
      <c r="I927" s="2"/>
    </row>
    <row r="928" spans="4:9" ht="13" x14ac:dyDescent="0.15">
      <c r="D928" s="2"/>
      <c r="E928" s="2"/>
      <c r="F928" s="2"/>
      <c r="G928" s="2"/>
      <c r="H928" s="2"/>
      <c r="I928" s="2"/>
    </row>
    <row r="929" spans="4:9" ht="13" x14ac:dyDescent="0.15">
      <c r="D929" s="2"/>
      <c r="E929" s="2"/>
      <c r="F929" s="2"/>
      <c r="G929" s="2"/>
      <c r="H929" s="2"/>
      <c r="I929" s="2"/>
    </row>
    <row r="930" spans="4:9" ht="13" x14ac:dyDescent="0.15">
      <c r="D930" s="2"/>
      <c r="E930" s="2"/>
      <c r="F930" s="2"/>
      <c r="G930" s="2"/>
      <c r="H930" s="2"/>
      <c r="I930" s="2"/>
    </row>
    <row r="931" spans="4:9" ht="13" x14ac:dyDescent="0.15">
      <c r="D931" s="2"/>
      <c r="E931" s="2"/>
      <c r="F931" s="2"/>
      <c r="G931" s="2"/>
      <c r="H931" s="2"/>
      <c r="I931" s="2"/>
    </row>
    <row r="932" spans="4:9" ht="13" x14ac:dyDescent="0.15">
      <c r="D932" s="2"/>
      <c r="E932" s="2"/>
      <c r="F932" s="2"/>
      <c r="G932" s="2"/>
      <c r="H932" s="2"/>
      <c r="I932" s="2"/>
    </row>
    <row r="933" spans="4:9" ht="13" x14ac:dyDescent="0.15">
      <c r="D933" s="2"/>
      <c r="E933" s="2"/>
      <c r="F933" s="2"/>
      <c r="G933" s="2"/>
      <c r="H933" s="2"/>
      <c r="I933" s="2"/>
    </row>
    <row r="934" spans="4:9" ht="13" x14ac:dyDescent="0.15">
      <c r="D934" s="2"/>
      <c r="E934" s="2"/>
      <c r="F934" s="2"/>
      <c r="G934" s="2"/>
      <c r="H934" s="2"/>
      <c r="I934" s="2"/>
    </row>
    <row r="935" spans="4:9" ht="13" x14ac:dyDescent="0.15">
      <c r="D935" s="2"/>
      <c r="E935" s="2"/>
      <c r="F935" s="2"/>
      <c r="G935" s="2"/>
      <c r="H935" s="2"/>
      <c r="I935" s="2"/>
    </row>
    <row r="936" spans="4:9" ht="13" x14ac:dyDescent="0.15">
      <c r="D936" s="2"/>
      <c r="E936" s="2"/>
      <c r="F936" s="2"/>
      <c r="G936" s="2"/>
      <c r="H936" s="2"/>
      <c r="I936" s="2"/>
    </row>
    <row r="937" spans="4:9" ht="13" x14ac:dyDescent="0.15">
      <c r="D937" s="2"/>
      <c r="E937" s="2"/>
      <c r="F937" s="2"/>
      <c r="G937" s="2"/>
      <c r="H937" s="2"/>
      <c r="I937" s="2"/>
    </row>
    <row r="938" spans="4:9" ht="13" x14ac:dyDescent="0.15">
      <c r="D938" s="2"/>
      <c r="E938" s="2"/>
      <c r="F938" s="2"/>
      <c r="G938" s="2"/>
      <c r="H938" s="2"/>
      <c r="I938" s="2"/>
    </row>
    <row r="939" spans="4:9" ht="13" x14ac:dyDescent="0.15">
      <c r="D939" s="2"/>
      <c r="E939" s="2"/>
      <c r="F939" s="2"/>
      <c r="G939" s="2"/>
      <c r="H939" s="2"/>
      <c r="I939" s="2"/>
    </row>
    <row r="940" spans="4:9" ht="13" x14ac:dyDescent="0.15">
      <c r="D940" s="2"/>
      <c r="E940" s="2"/>
      <c r="F940" s="2"/>
      <c r="G940" s="2"/>
      <c r="H940" s="2"/>
      <c r="I940" s="2"/>
    </row>
    <row r="941" spans="4:9" ht="13" x14ac:dyDescent="0.15">
      <c r="D941" s="2"/>
      <c r="E941" s="2"/>
      <c r="F941" s="2"/>
      <c r="G941" s="2"/>
      <c r="H941" s="2"/>
      <c r="I941" s="2"/>
    </row>
    <row r="942" spans="4:9" ht="13" x14ac:dyDescent="0.15">
      <c r="D942" s="2"/>
      <c r="E942" s="2"/>
      <c r="F942" s="2"/>
      <c r="G942" s="2"/>
      <c r="H942" s="2"/>
      <c r="I942" s="2"/>
    </row>
    <row r="943" spans="4:9" ht="13" x14ac:dyDescent="0.15">
      <c r="D943" s="2"/>
      <c r="E943" s="2"/>
      <c r="F943" s="2"/>
      <c r="G943" s="2"/>
      <c r="H943" s="2"/>
      <c r="I943" s="2"/>
    </row>
    <row r="944" spans="4:9" ht="13" x14ac:dyDescent="0.15">
      <c r="D944" s="2"/>
      <c r="E944" s="2"/>
      <c r="F944" s="2"/>
      <c r="G944" s="2"/>
      <c r="H944" s="2"/>
      <c r="I944" s="2"/>
    </row>
    <row r="945" spans="4:9" ht="13" x14ac:dyDescent="0.15">
      <c r="D945" s="2"/>
      <c r="E945" s="2"/>
      <c r="F945" s="2"/>
      <c r="G945" s="2"/>
      <c r="H945" s="2"/>
      <c r="I945" s="2"/>
    </row>
    <row r="946" spans="4:9" ht="13" x14ac:dyDescent="0.15">
      <c r="D946" s="2"/>
      <c r="E946" s="2"/>
      <c r="F946" s="2"/>
      <c r="G946" s="2"/>
      <c r="H946" s="2"/>
      <c r="I946" s="2"/>
    </row>
    <row r="947" spans="4:9" ht="13" x14ac:dyDescent="0.15">
      <c r="D947" s="2"/>
      <c r="E947" s="2"/>
      <c r="F947" s="2"/>
      <c r="G947" s="2"/>
      <c r="H947" s="2"/>
      <c r="I947" s="2"/>
    </row>
    <row r="948" spans="4:9" ht="13" x14ac:dyDescent="0.15">
      <c r="D948" s="2"/>
      <c r="E948" s="2"/>
      <c r="F948" s="2"/>
      <c r="G948" s="2"/>
      <c r="H948" s="2"/>
      <c r="I948" s="2"/>
    </row>
    <row r="949" spans="4:9" ht="13" x14ac:dyDescent="0.15">
      <c r="D949" s="2"/>
      <c r="E949" s="2"/>
      <c r="F949" s="2"/>
      <c r="G949" s="2"/>
      <c r="H949" s="2"/>
      <c r="I949" s="2"/>
    </row>
    <row r="950" spans="4:9" ht="13" x14ac:dyDescent="0.15">
      <c r="D950" s="2"/>
      <c r="E950" s="2"/>
      <c r="F950" s="2"/>
      <c r="G950" s="2"/>
      <c r="H950" s="2"/>
      <c r="I950" s="2"/>
    </row>
    <row r="951" spans="4:9" ht="13" x14ac:dyDescent="0.15">
      <c r="D951" s="2"/>
      <c r="E951" s="2"/>
      <c r="F951" s="2"/>
      <c r="G951" s="2"/>
      <c r="H951" s="2"/>
      <c r="I951" s="2"/>
    </row>
    <row r="952" spans="4:9" ht="13" x14ac:dyDescent="0.15">
      <c r="D952" s="2"/>
      <c r="E952" s="2"/>
      <c r="F952" s="2"/>
      <c r="G952" s="2"/>
      <c r="H952" s="2"/>
      <c r="I952" s="2"/>
    </row>
    <row r="953" spans="4:9" ht="13" x14ac:dyDescent="0.15">
      <c r="D953" s="2"/>
      <c r="E953" s="2"/>
      <c r="F953" s="2"/>
      <c r="G953" s="2"/>
      <c r="H953" s="2"/>
      <c r="I953" s="2"/>
    </row>
    <row r="954" spans="4:9" ht="13" x14ac:dyDescent="0.15">
      <c r="D954" s="2"/>
      <c r="E954" s="2"/>
      <c r="F954" s="2"/>
      <c r="G954" s="2"/>
      <c r="H954" s="2"/>
      <c r="I954" s="2"/>
    </row>
    <row r="955" spans="4:9" ht="13" x14ac:dyDescent="0.15">
      <c r="D955" s="2"/>
      <c r="E955" s="2"/>
      <c r="F955" s="2"/>
      <c r="G955" s="2"/>
      <c r="H955" s="2"/>
      <c r="I955" s="2"/>
    </row>
    <row r="956" spans="4:9" ht="13" x14ac:dyDescent="0.15">
      <c r="D956" s="2"/>
      <c r="E956" s="2"/>
      <c r="F956" s="2"/>
      <c r="G956" s="2"/>
      <c r="H956" s="2"/>
      <c r="I956" s="2"/>
    </row>
    <row r="957" spans="4:9" ht="13" x14ac:dyDescent="0.15">
      <c r="D957" s="2"/>
      <c r="E957" s="2"/>
      <c r="F957" s="2"/>
      <c r="G957" s="2"/>
      <c r="H957" s="2"/>
      <c r="I957" s="2"/>
    </row>
    <row r="958" spans="4:9" ht="13" x14ac:dyDescent="0.15">
      <c r="D958" s="2"/>
      <c r="E958" s="2"/>
      <c r="F958" s="2"/>
      <c r="G958" s="2"/>
      <c r="H958" s="2"/>
      <c r="I958" s="2"/>
    </row>
    <row r="959" spans="4:9" ht="13" x14ac:dyDescent="0.15">
      <c r="D959" s="2"/>
      <c r="E959" s="2"/>
      <c r="F959" s="2"/>
      <c r="G959" s="2"/>
      <c r="H959" s="2"/>
      <c r="I959" s="2"/>
    </row>
    <row r="960" spans="4:9" ht="13" x14ac:dyDescent="0.15">
      <c r="D960" s="2"/>
      <c r="E960" s="2"/>
      <c r="F960" s="2"/>
      <c r="G960" s="2"/>
      <c r="H960" s="2"/>
      <c r="I960" s="2"/>
    </row>
    <row r="961" spans="4:9" ht="13" x14ac:dyDescent="0.15">
      <c r="D961" s="2"/>
      <c r="E961" s="2"/>
      <c r="F961" s="2"/>
      <c r="G961" s="2"/>
      <c r="H961" s="2"/>
      <c r="I961" s="2"/>
    </row>
    <row r="962" spans="4:9" ht="13" x14ac:dyDescent="0.15">
      <c r="D962" s="2"/>
      <c r="E962" s="2"/>
      <c r="F962" s="2"/>
      <c r="G962" s="2"/>
      <c r="H962" s="2"/>
      <c r="I962" s="2"/>
    </row>
    <row r="963" spans="4:9" ht="13" x14ac:dyDescent="0.15">
      <c r="D963" s="2"/>
      <c r="E963" s="2"/>
      <c r="F963" s="2"/>
      <c r="G963" s="2"/>
      <c r="H963" s="2"/>
      <c r="I963" s="2"/>
    </row>
    <row r="964" spans="4:9" ht="13" x14ac:dyDescent="0.15">
      <c r="D964" s="2"/>
      <c r="E964" s="2"/>
      <c r="F964" s="2"/>
      <c r="G964" s="2"/>
      <c r="H964" s="2"/>
      <c r="I964" s="2"/>
    </row>
    <row r="965" spans="4:9" ht="13" x14ac:dyDescent="0.15">
      <c r="D965" s="2"/>
      <c r="E965" s="2"/>
      <c r="F965" s="2"/>
      <c r="G965" s="2"/>
      <c r="H965" s="2"/>
      <c r="I965" s="2"/>
    </row>
    <row r="966" spans="4:9" ht="13" x14ac:dyDescent="0.15">
      <c r="D966" s="2"/>
      <c r="E966" s="2"/>
      <c r="F966" s="2"/>
      <c r="G966" s="2"/>
      <c r="H966" s="2"/>
      <c r="I966" s="2"/>
    </row>
    <row r="967" spans="4:9" ht="13" x14ac:dyDescent="0.15">
      <c r="D967" s="2"/>
      <c r="E967" s="2"/>
      <c r="F967" s="2"/>
      <c r="G967" s="2"/>
      <c r="H967" s="2"/>
      <c r="I967" s="2"/>
    </row>
    <row r="968" spans="4:9" ht="13" x14ac:dyDescent="0.15">
      <c r="D968" s="2"/>
      <c r="E968" s="2"/>
      <c r="F968" s="2"/>
      <c r="G968" s="2"/>
      <c r="H968" s="2"/>
      <c r="I968" s="2"/>
    </row>
    <row r="969" spans="4:9" ht="13" x14ac:dyDescent="0.15">
      <c r="D969" s="2"/>
      <c r="E969" s="2"/>
      <c r="F969" s="2"/>
      <c r="G969" s="2"/>
      <c r="H969" s="2"/>
      <c r="I969" s="2"/>
    </row>
    <row r="970" spans="4:9" ht="13" x14ac:dyDescent="0.15">
      <c r="D970" s="2"/>
      <c r="E970" s="2"/>
      <c r="F970" s="2"/>
      <c r="G970" s="2"/>
      <c r="H970" s="2"/>
      <c r="I970" s="2"/>
    </row>
    <row r="971" spans="4:9" ht="13" x14ac:dyDescent="0.15">
      <c r="D971" s="2"/>
      <c r="E971" s="2"/>
      <c r="F971" s="2"/>
      <c r="G971" s="2"/>
      <c r="H971" s="2"/>
      <c r="I971" s="2"/>
    </row>
    <row r="972" spans="4:9" ht="13" x14ac:dyDescent="0.15">
      <c r="D972" s="2"/>
      <c r="E972" s="2"/>
      <c r="F972" s="2"/>
      <c r="G972" s="2"/>
      <c r="H972" s="2"/>
      <c r="I972" s="2"/>
    </row>
    <row r="973" spans="4:9" ht="13" x14ac:dyDescent="0.15">
      <c r="D973" s="2"/>
      <c r="E973" s="2"/>
      <c r="F973" s="2"/>
      <c r="G973" s="2"/>
      <c r="H973" s="2"/>
      <c r="I973" s="2"/>
    </row>
    <row r="974" spans="4:9" ht="13" x14ac:dyDescent="0.15">
      <c r="D974" s="2"/>
      <c r="E974" s="2"/>
      <c r="F974" s="2"/>
      <c r="G974" s="2"/>
      <c r="H974" s="2"/>
      <c r="I974" s="2"/>
    </row>
    <row r="975" spans="4:9" ht="13" x14ac:dyDescent="0.15">
      <c r="D975" s="2"/>
      <c r="E975" s="2"/>
      <c r="F975" s="2"/>
      <c r="G975" s="2"/>
      <c r="H975" s="2"/>
      <c r="I975" s="2"/>
    </row>
    <row r="976" spans="4:9" ht="13" x14ac:dyDescent="0.15">
      <c r="D976" s="2"/>
      <c r="E976" s="2"/>
      <c r="F976" s="2"/>
      <c r="G976" s="2"/>
      <c r="H976" s="2"/>
      <c r="I976" s="2"/>
    </row>
    <row r="977" spans="4:9" ht="13" x14ac:dyDescent="0.15">
      <c r="D977" s="2"/>
      <c r="E977" s="2"/>
      <c r="F977" s="2"/>
      <c r="G977" s="2"/>
      <c r="H977" s="2"/>
      <c r="I977" s="2"/>
    </row>
    <row r="978" spans="4:9" ht="13" x14ac:dyDescent="0.15">
      <c r="D978" s="2"/>
      <c r="E978" s="2"/>
      <c r="F978" s="2"/>
      <c r="G978" s="2"/>
      <c r="H978" s="2"/>
      <c r="I978" s="2"/>
    </row>
    <row r="979" spans="4:9" ht="13" x14ac:dyDescent="0.15">
      <c r="D979" s="2"/>
      <c r="E979" s="2"/>
      <c r="F979" s="2"/>
      <c r="G979" s="2"/>
      <c r="H979" s="2"/>
      <c r="I979" s="2"/>
    </row>
    <row r="980" spans="4:9" ht="13" x14ac:dyDescent="0.15">
      <c r="D980" s="2"/>
      <c r="E980" s="2"/>
      <c r="F980" s="2"/>
      <c r="G980" s="2"/>
      <c r="H980" s="2"/>
      <c r="I980" s="2"/>
    </row>
    <row r="981" spans="4:9" ht="13" x14ac:dyDescent="0.15">
      <c r="D981" s="2"/>
      <c r="E981" s="2"/>
      <c r="F981" s="2"/>
      <c r="G981" s="2"/>
      <c r="H981" s="2"/>
      <c r="I981" s="2"/>
    </row>
    <row r="982" spans="4:9" ht="13" x14ac:dyDescent="0.15">
      <c r="D982" s="2"/>
      <c r="E982" s="2"/>
      <c r="F982" s="2"/>
      <c r="G982" s="2"/>
      <c r="H982" s="2"/>
      <c r="I982" s="2"/>
    </row>
    <row r="983" spans="4:9" ht="13" x14ac:dyDescent="0.15">
      <c r="D983" s="2"/>
      <c r="E983" s="2"/>
      <c r="F983" s="2"/>
      <c r="G983" s="2"/>
      <c r="H983" s="2"/>
      <c r="I983" s="2"/>
    </row>
    <row r="984" spans="4:9" ht="13" x14ac:dyDescent="0.15">
      <c r="D984" s="2"/>
      <c r="E984" s="2"/>
      <c r="F984" s="2"/>
      <c r="G984" s="2"/>
      <c r="H984" s="2"/>
      <c r="I984" s="2"/>
    </row>
    <row r="985" spans="4:9" ht="13" x14ac:dyDescent="0.15">
      <c r="D985" s="2"/>
      <c r="E985" s="2"/>
      <c r="F985" s="2"/>
      <c r="G985" s="2"/>
      <c r="H985" s="2"/>
      <c r="I985" s="2"/>
    </row>
    <row r="986" spans="4:9" ht="13" x14ac:dyDescent="0.15">
      <c r="D986" s="2"/>
      <c r="E986" s="2"/>
      <c r="F986" s="2"/>
      <c r="G986" s="2"/>
      <c r="H986" s="2"/>
      <c r="I986" s="2"/>
    </row>
    <row r="987" spans="4:9" ht="13" x14ac:dyDescent="0.15">
      <c r="D987" s="2"/>
      <c r="E987" s="2"/>
      <c r="F987" s="2"/>
      <c r="G987" s="2"/>
      <c r="H987" s="2"/>
      <c r="I987" s="2"/>
    </row>
    <row r="988" spans="4:9" ht="13" x14ac:dyDescent="0.15">
      <c r="D988" s="2"/>
      <c r="E988" s="2"/>
      <c r="F988" s="2"/>
      <c r="G988" s="2"/>
      <c r="H988" s="2"/>
      <c r="I988" s="2"/>
    </row>
    <row r="989" spans="4:9" ht="13" x14ac:dyDescent="0.15">
      <c r="D989" s="2"/>
      <c r="E989" s="2"/>
      <c r="F989" s="2"/>
      <c r="G989" s="2"/>
      <c r="H989" s="2"/>
      <c r="I989" s="2"/>
    </row>
    <row r="990" spans="4:9" ht="13" x14ac:dyDescent="0.15">
      <c r="D990" s="2"/>
      <c r="E990" s="2"/>
      <c r="F990" s="2"/>
      <c r="G990" s="2"/>
      <c r="H990" s="2"/>
      <c r="I990" s="2"/>
    </row>
    <row r="991" spans="4:9" ht="13" x14ac:dyDescent="0.15">
      <c r="D991" s="2"/>
      <c r="E991" s="2"/>
      <c r="F991" s="2"/>
      <c r="G991" s="2"/>
      <c r="H991" s="2"/>
      <c r="I991" s="2"/>
    </row>
    <row r="992" spans="4:9" ht="13" x14ac:dyDescent="0.15">
      <c r="D992" s="2"/>
      <c r="E992" s="2"/>
      <c r="F992" s="2"/>
      <c r="G992" s="2"/>
      <c r="H992" s="2"/>
      <c r="I992" s="2"/>
    </row>
    <row r="993" spans="4:9" ht="13" x14ac:dyDescent="0.15">
      <c r="D993" s="2"/>
      <c r="E993" s="2"/>
      <c r="F993" s="2"/>
      <c r="G993" s="2"/>
      <c r="H993" s="2"/>
      <c r="I993" s="2"/>
    </row>
    <row r="994" spans="4:9" ht="13" x14ac:dyDescent="0.15">
      <c r="D994" s="2"/>
      <c r="E994" s="2"/>
      <c r="F994" s="2"/>
      <c r="G994" s="2"/>
      <c r="H994" s="2"/>
      <c r="I994" s="2"/>
    </row>
    <row r="995" spans="4:9" ht="13" x14ac:dyDescent="0.15">
      <c r="D995" s="2"/>
      <c r="E995" s="2"/>
      <c r="F995" s="2"/>
      <c r="G995" s="2"/>
      <c r="H995" s="2"/>
      <c r="I995" s="2"/>
    </row>
    <row r="996" spans="4:9" ht="13" x14ac:dyDescent="0.15">
      <c r="D996" s="2"/>
      <c r="E996" s="2"/>
      <c r="F996" s="2"/>
      <c r="G996" s="2"/>
      <c r="H996" s="2"/>
      <c r="I996" s="2"/>
    </row>
  </sheetData>
  <autoFilter ref="A1:I99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 2025</vt:lpstr>
      <vt:lpstr>Odds</vt:lpstr>
      <vt:lpstr>Yahoo WPW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Zander Lustig</cp:lastModifiedBy>
  <dcterms:created xsi:type="dcterms:W3CDTF">2025-08-31T19:08:35Z</dcterms:created>
  <dcterms:modified xsi:type="dcterms:W3CDTF">2025-10-01T18:36:42Z</dcterms:modified>
</cp:coreProperties>
</file>